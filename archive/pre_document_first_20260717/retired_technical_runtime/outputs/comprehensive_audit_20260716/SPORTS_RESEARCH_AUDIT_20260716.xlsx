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e206bc231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c615f7c045b432d"/>
    <x:sheet xmlns:r="http://schemas.openxmlformats.org/officeDocument/2006/relationships" name="Dashboard" sheetId="2" r:id="Rc4da5edac9784507"/>
    <x:sheet xmlns:r="http://schemas.openxmlformats.org/officeDocument/2006/relationships" name="Sport Summary" sheetId="3" r:id="R4307661df05e4943"/>
    <x:sheet xmlns:r="http://schemas.openxmlformats.org/officeDocument/2006/relationships" name="Rank Summary" sheetId="4" r:id="R1f0f119b10db4b62"/>
    <x:sheet xmlns:r="http://schemas.openxmlformats.org/officeDocument/2006/relationships" name="Calibration" sheetId="5" r:id="R7363df8ce9524604"/>
    <x:sheet xmlns:r="http://schemas.openxmlformats.org/officeDocument/2006/relationships" name="Issue Register" sheetId="6" r:id="Rfa10b06ac07a498d"/>
    <x:sheet xmlns:r="http://schemas.openxmlformats.org/officeDocument/2006/relationships" name="Legacy Audit" sheetId="7" r:id="R5d1fcd07892a48c3"/>
    <x:sheet xmlns:r="http://schemas.openxmlformats.org/officeDocument/2006/relationships" name="Source Map" sheetId="8" r:id="R6de9d6124b5e40e5"/>
    <x:sheet xmlns:r="http://schemas.openxmlformats.org/officeDocument/2006/relationships" name="Raw Manifest" sheetId="9" r:id="Raca8b17ba1e44150"/>
    <x:sheet xmlns:r="http://schemas.openxmlformats.org/officeDocument/2006/relationships" name="Prediction Template" sheetId="10" r:id="Rca1a0cd8bd494775"/>
    <x:sheet xmlns:r="http://schemas.openxmlformats.org/officeDocument/2006/relationships" name="Settlement Template" sheetId="11" r:id="Rca837fdd2287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00"/>
    <x:numFmt numFmtId="202" formatCode="yyyy-mm-dd"/>
    <x:numFmt numFmtId="203" formatCode="0.000"/>
    <x:numFmt numFmtId="204" formatCode="0%"/>
    <x:numFmt numFmtId="205" formatCode="yyyy-mm-dd hh:mm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C94C4C"/>
      <x:name val="Carlito"/>
    </x:font>
    <x:font>
      <x:sz val="11"/>
      <x:color rgb="FF7A5200"/>
      <x:name val="Carlito"/>
    </x:font>
    <x:font>
      <x:b/>
      <x:sz val="11"/>
      <x:color rgb="FF7A52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EF3F7"/>
      </x:patternFill>
    </x:fill>
    <x:fill>
      <x:patternFill patternType="solid">
        <x:fgColor rgb="FF2A9D8F"/>
      </x:patternFill>
    </x:fill>
    <x:fill>
      <x:patternFill patternType="solid">
        <x:fgColor rgb="FF2F75B5"/>
      </x:patternFill>
    </x:fill>
    <x:fill>
      <x:patternFill patternType="solid">
        <x:fgColor rgb="FFFCE8E6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CDD6DF"/>
      </x:left>
      <x:right style="thin">
        <x:color rgb="FFCDD6DF"/>
      </x:right>
      <x:top style="thin">
        <x:color rgb="FFCDD6DF"/>
      </x:top>
      <x:bottom style="thin">
        <x:color rgb="FFCDD6D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/>
    </x:xf>
    <x:xf numFmtId="0" fontId="5" fillId="7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vertical="top"/>
    </x:xf>
    <x:xf numFmtId="0" fontId="0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7A5200"/>
      </x:font>
      <x:fill>
        <x:patternFill patternType="solid">
          <x:bgColor rgb="FFFFF3CD"/>
        </x:patternFill>
      </x:fill>
    </x:dxf>
    <x:dxf>
      <x:font>
        <x:color rgb="FFC94C4C"/>
      </x:font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ont>
        <x:b/>
        <x:color rgb="FFC94C4C"/>
      </x:font>
      <x:fill>
        <x:patternFill patternType="solid">
          <x:bgColor rgb="FFFCE8E6"/>
        </x:patternFill>
      </x:fill>
    </x:dxf>
    <x:dxf>
      <x:font>
        <x:b/>
        <x:color rgb="FFC94C4C"/>
      </x:font>
      <x:fill>
        <x:patternFill patternType="solid">
          <x:bgColor rgb="FFFCE8E6"/>
        </x:patternFill>
      </x:fill>
    </x:dxf>
    <x:dxf>
      <x:font>
        <x:b/>
        <x:color rgb="FF7A5200"/>
      </x:font>
      <x:fill>
        <x:patternFill patternType="solid">
          <x:bgColor rgb="FFFFF3CD"/>
        </x:patternFill>
      </x:fill>
    </x:dxf>
    <x:dxf>
      <x:font>
        <x:b/>
        <x:color rgb="FFC94C4C"/>
      </x:font>
      <x:fill>
        <x:patternFill patternType="solid">
          <x:bgColor rgb="FFFCE8E6"/>
        </x:patternFill>
      </x:fill>
    </x:dxf>
    <x:dxf>
      <x:font>
        <x:b/>
        <x:color rgb="FF7A52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26352d818464f" /><Relationship Type="http://schemas.openxmlformats.org/officeDocument/2006/relationships/theme" Target="/xl/theme/theme1.xml" Id="Re22961472fee4c83" /><Relationship Type="http://schemas.openxmlformats.org/officeDocument/2006/relationships/sharedStrings" Target="/xl/sharedStrings.xml" Id="R918f1d30677043e2" /><Relationship Type="http://schemas.openxmlformats.org/officeDocument/2006/relationships/worksheet" Target="/xl/worksheets/sheet1.xml" Id="Rfc615f7c045b432d" /><Relationship Type="http://schemas.openxmlformats.org/officeDocument/2006/relationships/worksheet" Target="/xl/worksheets/sheet2.xml" Id="Rc4da5edac9784507" /><Relationship Type="http://schemas.openxmlformats.org/officeDocument/2006/relationships/worksheet" Target="/xl/worksheets/sheet3.xml" Id="R4307661df05e4943" /><Relationship Type="http://schemas.openxmlformats.org/officeDocument/2006/relationships/worksheet" Target="/xl/worksheets/sheet4.xml" Id="R1f0f119b10db4b62" /><Relationship Type="http://schemas.openxmlformats.org/officeDocument/2006/relationships/worksheet" Target="/xl/worksheets/sheet5.xml" Id="R7363df8ce9524604" /><Relationship Type="http://schemas.openxmlformats.org/officeDocument/2006/relationships/worksheet" Target="/xl/worksheets/sheet6.xml" Id="Rfa10b06ac07a498d" /><Relationship Type="http://schemas.openxmlformats.org/officeDocument/2006/relationships/worksheet" Target="/xl/worksheets/sheet7.xml" Id="R5d1fcd07892a48c3" /><Relationship Type="http://schemas.openxmlformats.org/officeDocument/2006/relationships/worksheet" Target="/xl/worksheets/sheet8.xml" Id="R6de9d6124b5e40e5" /><Relationship Type="http://schemas.openxmlformats.org/officeDocument/2006/relationships/worksheet" Target="/xl/worksheets/sheet9.xml" Id="Raca8b17ba1e44150" /><Relationship Type="http://schemas.openxmlformats.org/officeDocument/2006/relationships/worksheet" Target="/xl/worksheets/sheet10.xml" Id="Rca1a0cd8bd494775" /><Relationship Type="http://schemas.openxmlformats.org/officeDocument/2006/relationships/worksheet" Target="/xl/worksheets/sheet11.xml" Id="Rca837fdd228742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628fc036c048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bacc2616af7410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835c130a9944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Legacy hit rate by sport (descriptive only)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 rate</c:v>
          </c:tx>
          <c:cat>
            <c:strRef>
              <c:f>'Sport Summary'!$S$5:$S$9</c:f>
              <c:strCache>
                <c:ptCount val="0"/>
              </c:strCache>
            </c:strRef>
          </c:cat>
          <c:val>
            <c:numRef>
              <c:f>'Sport Summary'!$T$5:$T$9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Legacy hit rate by rank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Hit rate</c:v>
          </c:tx>
          <c:cat>
            <c:strRef>
              <c:f>'Rank Summary'!$S$5:$S$12</c:f>
              <c:strCache>
                <c:ptCount val="0"/>
              </c:strCache>
            </c:strRef>
          </c:cat>
          <c:val>
            <c:numRef>
              <c:f>'Rank Summary'!$T$5:$T$12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Legacy predicted vs observed</a:t>
            </a:r>
          </a:p>
        </c:rich>
      </c:tx>
    </c:title>
    <c:plotArea>
      <c:lineChart>
        <c:grouping val="standard"/>
        <c:ser>
          <c:idx val="0"/>
          <c:order val="0"/>
          <c:tx>
            <c:v>Mean predicted</c:v>
          </c:tx>
          <c:marker>
            <c:symbol val="none"/>
          </c:marker>
          <c:cat>
            <c:strRef>
              <c:f>'Calibration'!$J$5:$J$14</c:f>
              <c:strCache>
                <c:ptCount val="0"/>
              </c:strCache>
            </c:strRef>
          </c:cat>
          <c:val>
            <c:numRef>
              <c:f>'Calibration'!$K$5:$K$14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Observed</c:v>
          </c:tx>
          <c:marker>
            <c:symbol val="none"/>
          </c:marker>
          <c:cat>
            <c:strRef>
              <c:f>'Calibration'!$J$5:$J$14</c:f>
              <c:strCache>
                <c:ptCount val="0"/>
              </c:strCache>
            </c:strRef>
          </c:cat>
          <c:val>
            <c:numRef>
              <c:f>'Calibration'!$L$5:$L$14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628fc036c048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acc2616af7410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35c130a9944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portSummaryTable" displayName="SportSummaryTable" ref="A4:I14" headerRowCount="1" totalsRowCount="0" totalsRowShown="0">
  <x:tableColumns count="9">
    <x:tableColumn id="1" name="Sport family"/>
    <x:tableColumn id="2" name="Decisions"/>
    <x:tableColumn id="3" name="W"/>
    <x:tableColumn id="4" name="L"/>
    <x:tableColumn id="5" name="P"/>
    <x:tableColumn id="6" name="Hit rate"/>
    <x:tableColumn id="7" name="Mean stated p"/>
    <x:tableColumn id="8" name="Apparent Brier"/>
    <x:tableColumn id="9" name="Operational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ankSummaryTable" displayName="RankSummaryTable" ref="A4:H12" headerRowCount="1" totalsRowCount="0" totalsRowShown="0">
  <x:tableColumns count="8">
    <x:tableColumn id="1" name="Legacy rank"/>
    <x:tableColumn id="2" name="Decisions"/>
    <x:tableColumn id="3" name="W"/>
    <x:tableColumn id="4" name="L"/>
    <x:tableColumn id="5" name="P"/>
    <x:tableColumn id="6" name="Hit rate"/>
    <x:tableColumn id="7" name="Mean stated p"/>
    <x:tableColumn id="8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alibrationTable" displayName="CalibrationTable" ref="A4:H14" headerRowCount="1" totalsRowCount="0" totalsRowShown="0">
  <x:tableColumns count="8">
    <x:tableColumn id="1" name="Bucket"/>
    <x:tableColumn id="2" name="Low"/>
    <x:tableColumn id="3" name="High"/>
    <x:tableColumn id="4" name="N"/>
    <x:tableColumn id="5" name="Wins"/>
    <x:tableColumn id="6" name="Mean p"/>
    <x:tableColumn id="7" name="Observed"/>
    <x:tableColumn id="8" name="Br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IssueRegisterTable" displayName="IssueRegisterTable" ref="A4:F20" headerRowCount="1" totalsRowCount="0" totalsRowShown="0">
  <x:tableColumns count="6">
    <x:tableColumn id="1" name="Severity"/>
    <x:tableColumn id="2" name="Issue"/>
    <x:tableColumn id="3" name="Evidence"/>
    <x:tableColumn id="4" name="Impact"/>
    <x:tableColumn id="5" name="Corrective control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LegacyAuditTable" displayName="LegacyAuditTable" ref="A4:X453" headerRowCount="1" totalsRowCount="0" totalsRowShown="0">
  <x:tableColumns count="24">
    <x:tableColumn id="1" name="Legacy row"/>
    <x:tableColumn id="2" name="Card ID"/>
    <x:tableColumn id="3" name="Date"/>
    <x:tableColumn id="4" name="Sport family"/>
    <x:tableColumn id="5" name="Sport raw"/>
    <x:tableColumn id="6" name="Match"/>
    <x:tableColumn id="7" name="Competition"/>
    <x:tableColumn id="8" name="Market group"/>
    <x:tableColumn id="9" name="Rank"/>
    <x:tableColumn id="10" name="Option"/>
    <x:tableColumn id="11" name="Line"/>
    <x:tableColumn id="12" name="Stated p"/>
    <x:tableColumn id="13" name="Status"/>
    <x:tableColumn id="14" name="Binary"/>
    <x:tableColumn id="15" name="Brier"/>
    <x:tableColumn id="16" name="Exact complement row"/>
    <x:tableColumn id="17" name="Probability bucket"/>
    <x:tableColumn id="18" name="Bucket mismatch"/>
    <x:tableColumn id="19" name="Settlement source"/>
    <x:tableColumn id="20" name="Source has URL"/>
    <x:tableColumn id="21" name="Potential post-event input"/>
    <x:tableColumn id="22" name="Eligible v3"/>
    <x:tableColumn id="23" name="Exclusion reason"/>
    <x:tableColumn id="24" name="Audit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MapTable" displayName="SourceMapTable" ref="A4:E18" headerRowCount="1" totalsRowCount="0" totalsRowShown="0">
  <x:tableColumns count="5">
    <x:tableColumn id="1" name="Sport"/>
    <x:tableColumn id="2" name="Publisher"/>
    <x:tableColumn id="3" name="Fact classes"/>
    <x:tableColumn id="4" name="Entry URL"/>
    <x:tableColumn id="5" name="Critical qualifi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wManifestTable" displayName="RawManifestTable" ref="A4:F16" headerRowCount="1" totalsRowCount="0" totalsRowShown="0">
  <x:tableColumns count="6">
    <x:tableColumn id="1" name="File"/>
    <x:tableColumn id="2" name="Bytes"/>
    <x:tableColumn id="3" name="Modified UTC"/>
    <x:tableColumn id="4" name="Parse"/>
    <x:tableColumn id="5" name="Top-level shape/keys"/>
    <x:tableColumn id="6" name="Audi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7af53e9219b4593" /><Relationship Type="http://schemas.openxmlformats.org/officeDocument/2006/relationships/table" Target="/xl/tables/table1.xml" Id="R67953afa9977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8f7a404d7c8463c" /><Relationship Type="http://schemas.openxmlformats.org/officeDocument/2006/relationships/table" Target="/xl/tables/table2.xml" Id="Rb660cfc7bec54e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e0e8bce07e23422c" /><Relationship Type="http://schemas.openxmlformats.org/officeDocument/2006/relationships/table" Target="/xl/tables/table3.xml" Id="R46f4172ed61e48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b89bf532e4043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e165973fe9e4b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e90f76a17cf4d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76c932a5bcf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18" hidden="0" customWidth="1"/>
    <x:col min="4" max="4" width="52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3" t="str">
        <x:v>Sports Research Audit Workbook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Generated 2026-07-16 AEST. This workbook documents the repair; it is not proof of a profitable or validated forecasting system.</x:v>
      </x:c>
      <x:c r="B2" s="7"/>
      <x:c r="C2" s="7"/>
      <x:c r="D2" s="7"/>
      <x:c r="E2" s="7"/>
      <x:c r="F2" s="7"/>
      <x:c r="G2" s="7"/>
      <x:c r="H2" s="7"/>
    </x:row>
    <x:row r="4" ht="26.399999618530273" hidden="0" customHeight="1">
      <x:c r="A4" s="12" t="str">
        <x:v>Operational status</x:v>
      </x:c>
      <x:c r="B4" s="10" t="str">
        <x:v>SUSPENDED — NO ACTIVE MODELS</x:v>
      </x:c>
      <x:c r="C4" s="14" t="str">
        <x:v>Meaning</x:v>
      </x:c>
      <x:c r="D4" s="10" t="str">
        <x:v>Only MODEL UNAVAILABLE / PASS is permitted until a scoped model passes prospective validation.</x:v>
      </x:c>
    </x:row>
    <x:row r="5" ht="26.399999618530273" hidden="0" customHeight="1">
      <x:c r="A5" s="12" t="str">
        <x:v>Historical record</x:v>
      </x:c>
      <x:c r="B5" s="10" t="str">
        <x:v>Legacy / unverified lock</x:v>
      </x:c>
      <x:c r="C5" s="14" t="str">
        <x:v>Meaning</x:v>
      </x:c>
      <x:c r="D5" s="10" t="str">
        <x:v>The recorded probabilities were not backed by immutable cutoff, model, data and source-packet versions.</x:v>
      </x:c>
    </x:row>
    <x:row r="6" ht="15" hidden="0" customHeight="1">
      <x:c r="A6" s="12" t="str">
        <x:v>Gross reconciliation</x:v>
      </x:c>
      <x:c r="B6" s="10" t="str">
        <x:v>253-190-2 in latest structured XLSX</x:v>
      </x:c>
      <x:c r="C6" s="14" t="str">
        <x:v>Later narrative</x:v>
      </x:c>
      <x:c r="D6" s="10" t="str">
        <x:v>257-194-2 after eight additional decisions; neither is a certified KPI.</x:v>
      </x:c>
    </x:row>
    <x:row r="7" ht="26.399999618530273" hidden="0" customHeight="1">
      <x:c r="A7" s="12" t="str">
        <x:v>ROI</x:v>
      </x:c>
      <x:c r="B7" s="10" t="str">
        <x:v>Not computable</x:v>
      </x:c>
      <x:c r="C7" s="14" t="str">
        <x:v>Reason</x:v>
      </x:c>
      <x:c r="D7" s="10" t="str">
        <x:v>No complete odds, price timestamps, stakes, execution or payout trail.</x:v>
      </x:c>
    </x:row>
    <x:row r="8" ht="26.399999618530273" hidden="0" customHeight="1">
      <x:c r="A8" s="12" t="str">
        <x:v>Primary defect</x:v>
      </x:c>
      <x:c r="B8" s="10" t="str">
        <x:v>Complement distortion</x:v>
      </x:c>
      <x:c r="C8" s="14" t="str">
        <x:v>Evidence</x:v>
      </x:c>
      <x:c r="D8" s="10" t="str">
        <x:v>At least 150 exact pairs occupy 300 of 437 CSV rows; later XLSX rows add more.</x:v>
      </x:c>
    </x:row>
    <x:row r="9" ht="15" hidden="0" customHeight="1">
      <x:c r="A9" s="12" t="str">
        <x:v>Canonical manual</x:v>
      </x:c>
      <x:c r="B9" s="10" t="str">
        <x:v>combined_sports_doc_v3.md</x:v>
      </x:c>
      <x:c r="C9" s="14" t="str">
        <x:v>Source rules</x:v>
      </x:c>
      <x:c r="D9" s="10" t="str">
        <x:v>SPORTS_SOURCE_REGISTRY_v3.md</x:v>
      </x:c>
    </x:row>
    <x:row r="10" ht="26.399999618530273" hidden="0" customHeight="1">
      <x:c r="A10" s="12" t="str">
        <x:v>Data contract</x:v>
      </x:c>
      <x:c r="B10" s="10" t="str">
        <x:v>SPORTS_DATA_DICTIONARY_v3.md</x:v>
      </x:c>
      <x:c r="C10" s="14" t="str">
        <x:v>Validation</x:v>
      </x:c>
      <x:c r="D10" s="10" t="str">
        <x:v>SPORTS_MODEL_VALIDATION_AND_SIMULATION_FRAMEWORK_v3.md</x:v>
      </x:c>
    </x:row>
    <x:row r="11" ht="15" hidden="0" customHeight="1">
      <x:c r="A11" s="12" t="str">
        <x:v>Legacy audit</x:v>
      </x:c>
      <x:c r="B11" s="10" t="str">
        <x:v>Legacy Audit sheet / migration CSV</x:v>
      </x:c>
      <x:c r="C11" s="14" t="str">
        <x:v>Restriction</x:v>
      </x:c>
      <x:c r="D11" s="10" t="str">
        <x:v>Every legacy row is excluded from official v3 evaluation.</x:v>
      </x:c>
    </x:row>
    <x:row r="14">
      <x:c r="A14" s="16" t="str">
        <x:v>How to read the workbook</x:v>
      </x:c>
      <x:c r="B14" s="16"/>
      <x:c r="C14" s="16"/>
      <x:c r="D14" s="16"/>
      <x:c r="E14" s="16"/>
      <x:c r="F14" s="16"/>
      <x:c r="G14" s="16"/>
      <x:c r="H14" s="16"/>
    </x:row>
    <x:row r="15">
      <x:c r="A15" s="17" t="str">
        <x:v>Dashboard: high-level failure evidence and current controls.</x:v>
      </x:c>
      <x:c r="B15" s="17"/>
      <x:c r="C15" s="17"/>
      <x:c r="D15" s="17"/>
      <x:c r="E15" s="17"/>
      <x:c r="F15" s="17"/>
      <x:c r="G15" s="17"/>
      <x:c r="H15" s="17"/>
    </x:row>
    <x:row r="16">
      <x:c r="A16" s="17" t="str">
        <x:v>Sport / Rank / Calibration: retrospective descriptive views only; correlation and selection bias remain.</x:v>
      </x:c>
      <x:c r="B16" s="17"/>
      <x:c r="C16" s="17"/>
      <x:c r="D16" s="17"/>
      <x:c r="E16" s="17"/>
      <x:c r="F16" s="17"/>
      <x:c r="G16" s="17"/>
      <x:c r="H16" s="17"/>
    </x:row>
    <x:row r="17">
      <x:c r="A17" s="17" t="str">
        <x:v>Issue Register: root causes, evidence and implemented controls.</x:v>
      </x:c>
      <x:c r="B17" s="17"/>
      <x:c r="C17" s="17"/>
      <x:c r="D17" s="17"/>
      <x:c r="E17" s="17"/>
      <x:c r="F17" s="17"/>
      <x:c r="G17" s="17"/>
      <x:c r="H17" s="17"/>
    </x:row>
    <x:row r="18">
      <x:c r="A18" s="17" t="str">
        <x:v>Legacy Audit: row-level migration flags and formula-derived Brier components.</x:v>
      </x:c>
      <x:c r="B18" s="17"/>
      <x:c r="C18" s="17"/>
      <x:c r="D18" s="17"/>
      <x:c r="E18" s="17"/>
      <x:c r="F18" s="17"/>
      <x:c r="G18" s="17"/>
      <x:c r="H18" s="17"/>
    </x:row>
    <x:row r="19">
      <x:c r="A19" s="17" t="str">
        <x:v>Templates / Source Map / Raw Manifest: safe forward structure and evidence boundaries.</x:v>
      </x:c>
      <x:c r="B19" s="17"/>
      <x:c r="C19" s="17"/>
      <x:c r="D19" s="17"/>
      <x:c r="E19" s="17"/>
      <x:c r="F19" s="17"/>
      <x:c r="G19" s="17"/>
      <x:c r="H19" s="17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48" hidden="0" customWidth="1"/>
    <x:col min="4" max="4" width="14" hidden="0" customWidth="1"/>
    <x:col min="5" max="5" width="3" hidden="0" customWidth="1"/>
    <x:col min="6" max="6" width="23" hidden="0" customWidth="1"/>
    <x:col min="7" max="7" width="42" hidden="0" customWidth="1"/>
    <x:col min="8" max="8" width="48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1" ht="30" customHeight="1">
      <x:c r="A1" s="3" t="str">
        <x:v>Comprehensive Process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Formula-driven summary of the latest structured legacy workbook. Metrics are retrospective diagnostics, not certified prospective performance.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22" t="str">
        <x:v>Metric</x:v>
      </x:c>
      <x:c r="B4" s="22" t="str">
        <x:v>Value</x:v>
      </x:c>
      <x:c r="C4" s="22" t="str">
        <x:v>Interpretation</x:v>
      </x:c>
      <x:c r="D4" s="22" t="str">
        <x:v>Status</x:v>
      </x:c>
      <x:c r="F4" s="16" t="str">
        <x:v>What failed and what replaced it</x:v>
      </x:c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 ht="15" hidden="0" customHeight="1">
      <x:c r="A5" s="10" t="str">
        <x:v>Structured selections</x:v>
      </x:c>
      <x:c r="B5" s="10" t="n">
        <x:f>COUNTA('Legacy Audit'!$B$5:$B$453)</x:f>
        <x:v>449</x:v>
      </x:c>
      <x:c r="C5" s="10" t="str">
        <x:v>Non-template rows in latest settled XLSX</x:v>
      </x:c>
      <x:c r="D5" s="10" t="str">
        <x:v>LEGACY</x:v>
      </x:c>
      <x:c r="F5" s="22" t="str">
        <x:v>Old process</x:v>
      </x:c>
      <x:c r="G5" s="22" t="str">
        <x:v>Observed defect</x:v>
      </x:c>
      <x:c r="H5" s="22" t="str">
        <x:v>Replacement control</x:v>
      </x:c>
    </x:row>
    <x:row r="6" ht="26.399999618530273" hidden="0" customHeight="1">
      <x:c r="A6" s="10" t="str">
        <x:v>Decisive W/L</x:v>
      </x:c>
      <x:c r="B6" s="10" t="n">
        <x:f>COUNTIF('Legacy Audit'!$M$5:$M$453,"W")+COUNTIF('Legacy Audit'!$M$5:$M$453,"L")</x:f>
        <x:v>443</x:v>
      </x:c>
      <x:c r="C6" s="10" t="str">
        <x:v>Excludes pushes, voids and unresolved</x:v>
      </x:c>
      <x:c r="D6" s="10" t="str">
        <x:v>LEGACY</x:v>
      </x:c>
      <x:c r="F6" s="10" t="str">
        <x:v>Four/long ranked cards</x:v>
      </x:c>
      <x:c r="G6" s="10" t="str">
        <x:v>Opposite outcomes counted as separate picks; many cards guaranteed 2-2</x:v>
      </x:c>
      <x:c r="H6" s="10" t="str">
        <x:v>One declared decision per market; alternatives logged as candidates</x:v>
      </x:c>
    </x:row>
    <x:row r="7" ht="15" hidden="0" customHeight="1">
      <x:c r="A7" s="10" t="str">
        <x:v>Wins</x:v>
      </x:c>
      <x:c r="B7" s="10" t="n">
        <x:f>COUNTIF('Legacy Audit'!$M$5:$M$453,"W")</x:f>
        <x:v>253</x:v>
      </x:c>
      <x:c r="C7" s="10" t="str">
        <x:v>Raw count; correlated selections included</x:v>
      </x:c>
      <x:c r="D7" s="10" t="str">
        <x:v>LEGACY</x:v>
      </x:c>
      <x:c r="F7" s="10" t="str">
        <x:v>Mutable ledger row</x:v>
      </x:c>
      <x:c r="G7" s="10" t="str">
        <x:v>Pregame probability, result and postmortem co-located</x:v>
      </x:c>
      <x:c r="H7" s="10" t="str">
        <x:v>Immutable publication snapshot plus append-only settlement</x:v>
      </x:c>
    </x:row>
    <x:row r="8" ht="15" hidden="0" customHeight="1">
      <x:c r="A8" s="10" t="str">
        <x:v>Losses</x:v>
      </x:c>
      <x:c r="B8" s="10" t="n">
        <x:f>COUNTIF('Legacy Audit'!$M$5:$M$453,"L")</x:f>
        <x:v>190</x:v>
      </x:c>
      <x:c r="C8" s="10" t="str">
        <x:v>Raw count; correlated selections included</x:v>
      </x:c>
      <x:c r="D8" s="10" t="str">
        <x:v>LEGACY</x:v>
      </x:c>
      <x:c r="F8" s="10" t="str">
        <x:v>Penalty/exemption economy</x:v>
      </x:c>
      <x:c r="G8" s="10" t="str">
        <x:v>Custom accounting obscured raw ranking performance</x:v>
      </x:c>
      <x:c r="H8" s="10" t="str">
        <x:v>Proper scores, baselines, event-clustered uncertainty</x:v>
      </x:c>
    </x:row>
    <x:row r="9" ht="26.399999618530273" hidden="0" customHeight="1">
      <x:c r="A9" s="10" t="str">
        <x:v>Pushes</x:v>
      </x:c>
      <x:c r="B9" s="10" t="n">
        <x:f>COUNTIF('Legacy Audit'!$M$5:$M$453,"P")</x:f>
        <x:v>2</x:v>
      </x:c>
      <x:c r="C9" s="10" t="str">
        <x:v>Recorded P status</x:v>
      </x:c>
      <x:c r="D9" s="10" t="str">
        <x:v>LEGACY</x:v>
      </x:c>
      <x:c r="F9" s="10" t="str">
        <x:v>Fixed L5/L10/L15/L20 ritual</x:v>
      </x:c>
      <x:c r="G9" s="10" t="str">
        <x:v>Overlapping windows encouraged selection and recency bias</x:v>
      </x:c>
      <x:c r="H9" s="10" t="str">
        <x:v>Predeclared sport/market features tested chronologically</x:v>
      </x:c>
    </x:row>
    <x:row r="10" ht="15" hidden="0" customHeight="1">
      <x:c r="A10" s="10" t="str">
        <x:v>Raw hit rate</x:v>
      </x:c>
      <x:c r="B10" s="26" t="n">
        <x:f>IF(B6=0,"",B7/B6)</x:f>
        <x:v>0.5711060948081265</x:v>
      </x:c>
      <x:c r="C10" s="10" t="str">
        <x:v>Not an edge or ROI measure</x:v>
      </x:c>
      <x:c r="D10" s="10" t="str">
        <x:v>CAUTION</x:v>
      </x:c>
      <x:c r="F10" s="10" t="str">
        <x:v>All-sport confidence language</x:v>
      </x:c>
      <x:c r="G10" s="10" t="str">
        <x:v>No validated model cards for several named sports</x:v>
      </x:c>
      <x:c r="H10" s="10" t="str">
        <x:v>Coverage registry; unsupported scopes must PASS</x:v>
      </x:c>
    </x:row>
    <x:row r="11" ht="26.399999618530273" hidden="0" customHeight="1">
      <x:c r="A11" s="10" t="str">
        <x:v>Apparent Brier</x:v>
      </x:c>
      <x:c r="B11" s="27" t="n">
        <x:f>AVERAGE('Legacy Audit'!$O$5:$O$453)</x:f>
        <x:v>0.21919322799097066</x:v>
      </x:c>
      <x:c r="C11" s="10" t="str">
        <x:v>Unverified lock; do not call calibrated</x:v>
      </x:c>
      <x:c r="D11" s="10" t="str">
        <x:v>CAUTION</x:v>
      </x:c>
      <x:c r="F11" s="10" t="str">
        <x:v>Poisson/simulation precision</x:v>
      </x:c>
      <x:c r="G11" s="10" t="str">
        <x:v>Assumed parameters and independent counts looked more certain than warranted</x:v>
      </x:c>
      <x:c r="H11" s="10" t="str">
        <x:v>Validated distribution, typed uncertainty, MCSE and convergence</x:v>
      </x:c>
    </x:row>
    <x:row r="12" ht="26.399999618530273" hidden="0" customHeight="1">
      <x:c r="A12" s="10" t="str">
        <x:v>Exact complement rows</x:v>
      </x:c>
      <x:c r="B12" s="10" t="n">
        <x:f>COUNTIF('Legacy Audit'!$P$5:$P$453,"YES")</x:f>
        <x:v>306</x:v>
      </x:c>
      <x:c r="C12" s="10" t="str">
        <x:v>Rows belonging to a detected over/under or opposite-spread pair</x:v>
      </x:c>
      <x:c r="D12" s="10" t="str">
        <x:v>FAIL</x:v>
      </x:c>
      <x:c r="F12" s="10" t="str">
        <x:v>Research-only cards</x:v>
      </x:c>
      <x:c r="G12" s="10" t="str">
        <x:v>No prices, stakes or executions, so value/ROI claims were impossible</x:v>
      </x:c>
      <x:c r="H12" s="10" t="str">
        <x:v>Separate research and price modes; execution required for P&amp;L/CLV</x:v>
      </x:c>
    </x:row>
    <x:row r="13" ht="26.399999618530273" hidden="0" customHeight="1">
      <x:c r="A13" s="10" t="str">
        <x:v>Exact complement share</x:v>
      </x:c>
      <x:c r="B13" s="26" t="n">
        <x:f>IF(B5=0,"",B12/B5)</x:f>
        <x:v>0.6815144766146993</x:v>
      </x:c>
      <x:c r="C13" s="10" t="str">
        <x:v>Mechanically inflates all-selection summaries</x:v>
      </x:c>
      <x:c r="D13" s="10" t="str">
        <x:v>FAIL</x:v>
      </x:c>
      <x:c r="F13" s="10" t="str">
        <x:v>Immediate rule after each miss</x:v>
      </x:c>
      <x:c r="G13" s="10" t="str">
        <x:v>Single-event narratives caused rule accretion and overfit</x:v>
      </x:c>
      <x:c r="H13" s="10" t="str">
        <x:v>Batch review, preregistered change ticket, new untouched test</x:v>
      </x:c>
    </x:row>
    <x:row r="14" ht="15" hidden="0" customHeight="1">
      <x:c r="A14" s="10" t="str">
        <x:v>Settlement rows with URL</x:v>
      </x:c>
      <x:c r="B14" s="10" t="n">
        <x:f>COUNTIF('Legacy Audit'!$T$5:$T$453,"YES")</x:f>
        <x:v>12</x:v>
      </x:c>
      <x:c r="C14" s="10" t="str">
        <x:v>Legacy settlement source fields mostly contain prose</x:v>
      </x:c>
      <x:c r="D14" s="10" t="str">
        <x:v>FAIL</x:v>
      </x:c>
    </x:row>
    <x:row r="15" ht="15" hidden="0" customHeight="1">
      <x:c r="A15" s="10" t="str">
        <x:v>Eligible for v3 evaluation</x:v>
      </x:c>
      <x:c r="B15" s="10" t="n">
        <x:f>COUNTIF('Legacy Audit'!$V$5:$V$453,"YES")</x:f>
        <x:v>0</x:v>
      </x:c>
      <x:c r="C15" s="10" t="str">
        <x:v>Requires immutable cutoff/model/source packet</x:v>
      </x:c>
      <x:c r="D15" s="10" t="str">
        <x:v>FAIL</x:v>
      </x:c>
    </x:row>
    <x:row r="16" ht="44" customHeight="1">
      <x:c r="F16" s="30" t="str">
        <x:v>Current publication rule: SUSPENDED — NO ACTIVE MODELS. A numerical probability is prohibited unless an ACTIVE, in-scope model passes the acceptance suite and prospective shadow gate.</x:v>
      </x:c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</x:row>
  </x:sheetData>
  <x:mergeCells>
    <x:mergeCell ref="A1:P1"/>
    <x:mergeCell ref="A2:P2"/>
    <x:mergeCell ref="F4:P4"/>
    <x:mergeCell ref="F16:P16"/>
  </x:mergeCells>
  <x:conditionalFormatting sqref="D5:D15">
    <x:cfRule type="containsText" dxfId="4" priority="1" operator="containsText" text="FAIL"/>
    <x:cfRule type="containsText" dxfId="5" priority="2" operator="containsText" text="CAUTIO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12" hidden="0" customWidth="1"/>
    <x:col min="7" max="7" width="15" hidden="0" customWidth="1"/>
    <x:col min="8" max="8" width="16" hidden="0" customWidth="1"/>
    <x:col min="9" max="9" width="20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3" t="str">
        <x:v>Legacy Performance by Sport Family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Formula-derived from the latest structured legacy rows. No segment is activated by these retrospective figures.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22" t="str">
        <x:v>Sport family</x:v>
      </x:c>
      <x:c r="B4" s="22" t="str">
        <x:v>Decisions</x:v>
      </x:c>
      <x:c r="C4" s="22" t="str">
        <x:v>W</x:v>
      </x:c>
      <x:c r="D4" s="22" t="str">
        <x:v>L</x:v>
      </x:c>
      <x:c r="E4" s="22" t="str">
        <x:v>P</x:v>
      </x:c>
      <x:c r="F4" s="22" t="str">
        <x:v>Hit rate</x:v>
      </x:c>
      <x:c r="G4" s="22" t="str">
        <x:v>Mean stated p</x:v>
      </x:c>
      <x:c r="H4" s="22" t="str">
        <x:v>Apparent Brier</x:v>
      </x:c>
      <x:c r="I4" s="22" t="str">
        <x:v>Operational status</x:v>
      </x:c>
      <x:c r="S4" t="str">
        <x:v>Sport family</x:v>
      </x:c>
      <x:c r="T4" t="str">
        <x:v>Hit rate</x:v>
      </x:c>
    </x:row>
    <x:row r="5">
      <x:c r="A5" s="9" t="str">
        <x:v>Australian football</x:v>
      </x:c>
      <x:c r="B5" s="9" t="n">
        <x:f>COUNTIFS('Legacy Audit'!$D$5:$D$453,$A5,'Legacy Audit'!$M$5:$M$453,"W")+COUNTIFS('Legacy Audit'!$D$5:$D$453,$A5,'Legacy Audit'!$M$5:$M$453,"L")</x:f>
        <x:v>44</x:v>
      </x:c>
      <x:c r="C5" s="9" t="n">
        <x:f>COUNTIFS('Legacy Audit'!$D$5:$D$453,$A5,'Legacy Audit'!$M$5:$M$453,"W")</x:f>
        <x:v>23</x:v>
      </x:c>
      <x:c r="D5" s="9" t="n">
        <x:f>COUNTIFS('Legacy Audit'!$D$5:$D$453,$A5,'Legacy Audit'!$M$5:$M$453,"L")</x:f>
        <x:v>21</x:v>
      </x:c>
      <x:c r="E5" s="9" t="n">
        <x:f>COUNTIFS('Legacy Audit'!$D$5:$D$453,$A5,'Legacy Audit'!$M$5:$M$453,"P")</x:f>
        <x:v>0</x:v>
      </x:c>
      <x:c r="F5" s="23" t="n">
        <x:f>IF(B5=0,"",C5/B5)</x:f>
        <x:v>0.5227272727272727</x:v>
      </x:c>
      <x:c r="G5" s="23" t="n">
        <x:f>IF(B5=0,"",(SUMIFS('Legacy Audit'!$L$5:$L$453,'Legacy Audit'!$D$5:$D$453,$A5,'Legacy Audit'!$M$5:$M$453,"W")+SUMIFS('Legacy Audit'!$L$5:$L$453,'Legacy Audit'!$D$5:$D$453,$A5,'Legacy Audit'!$M$5:$M$453,"L"))/B5)</x:f>
        <x:v>0.5206818181818182</x:v>
      </x:c>
      <x:c r="H5" s="31" t="n">
        <x:f>IF(B5=0,"",SUMIFS('Legacy Audit'!$O$5:$O$453,'Legacy Audit'!$D$5:$D$453,$A5)/B5)</x:f>
        <x:v>0.252565909090909</x:v>
      </x:c>
      <x:c r="I5" s="33" t="str">
        <x:v>UNSUPPORTED</x:v>
      </x:c>
      <x:c r="S5" t="str">
        <x:f>A5</x:f>
        <x:v>Australian football</x:v>
      </x:c>
      <x:c r="T5" t="n">
        <x:f>F5</x:f>
        <x:v>0.5227272727272727</x:v>
      </x:c>
    </x:row>
    <x:row r="6">
      <x:c r="A6" s="9" t="str">
        <x:v>Baseball</x:v>
      </x:c>
      <x:c r="B6" s="9" t="n">
        <x:f>COUNTIFS('Legacy Audit'!$D$5:$D$453,$A6,'Legacy Audit'!$M$5:$M$453,"W")+COUNTIFS('Legacy Audit'!$D$5:$D$453,$A6,'Legacy Audit'!$M$5:$M$453,"L")</x:f>
        <x:v>82</x:v>
      </x:c>
      <x:c r="C6" s="9" t="n">
        <x:f>COUNTIFS('Legacy Audit'!$D$5:$D$453,$A6,'Legacy Audit'!$M$5:$M$453,"W")</x:f>
        <x:v>47</x:v>
      </x:c>
      <x:c r="D6" s="9" t="n">
        <x:f>COUNTIFS('Legacy Audit'!$D$5:$D$453,$A6,'Legacy Audit'!$M$5:$M$453,"L")</x:f>
        <x:v>35</x:v>
      </x:c>
      <x:c r="E6" s="9" t="n">
        <x:f>COUNTIFS('Legacy Audit'!$D$5:$D$453,$A6,'Legacy Audit'!$M$5:$M$453,"P")</x:f>
        <x:v>2</x:v>
      </x:c>
      <x:c r="F6" s="23" t="n">
        <x:f>IF(B6=0,"",C6/B6)</x:f>
        <x:v>0.573170731707317</x:v>
      </x:c>
      <x:c r="G6" s="23" t="n">
        <x:f>IF(B6=0,"",(SUMIFS('Legacy Audit'!$L$5:$L$453,'Legacy Audit'!$D$5:$D$453,$A6,'Legacy Audit'!$M$5:$M$453,"W")+SUMIFS('Legacy Audit'!$L$5:$L$453,'Legacy Audit'!$D$5:$D$453,$A6,'Legacy Audit'!$M$5:$M$453,"L"))/B6)</x:f>
        <x:v>0.5558536585365855</x:v>
      </x:c>
      <x:c r="H6" s="31" t="n">
        <x:f>IF(B6=0,"",SUMIFS('Legacy Audit'!$O$5:$O$453,'Legacy Audit'!$D$5:$D$453,$A6)/B6)</x:f>
        <x:v>0.21127317073170737</x:v>
      </x:c>
      <x:c r="I6" s="33" t="str">
        <x:v>UNSUPPORTED</x:v>
      </x:c>
      <x:c r="S6" t="str">
        <x:f>A6</x:f>
        <x:v>Baseball</x:v>
      </x:c>
      <x:c r="T6" t="n">
        <x:f>F6</x:f>
        <x:v>0.573170731707317</x:v>
      </x:c>
    </x:row>
    <x:row r="7">
      <x:c r="A7" s="9" t="str">
        <x:v>Basketball</x:v>
      </x:c>
      <x:c r="B7" s="9" t="n">
        <x:f>COUNTIFS('Legacy Audit'!$D$5:$D$453,$A7,'Legacy Audit'!$M$5:$M$453,"W")+COUNTIFS('Legacy Audit'!$D$5:$D$453,$A7,'Legacy Audit'!$M$5:$M$453,"L")</x:f>
        <x:v>139</x:v>
      </x:c>
      <x:c r="C7" s="9" t="n">
        <x:f>COUNTIFS('Legacy Audit'!$D$5:$D$453,$A7,'Legacy Audit'!$M$5:$M$453,"W")</x:f>
        <x:v>73</x:v>
      </x:c>
      <x:c r="D7" s="9" t="n">
        <x:f>COUNTIFS('Legacy Audit'!$D$5:$D$453,$A7,'Legacy Audit'!$M$5:$M$453,"L")</x:f>
        <x:v>66</x:v>
      </x:c>
      <x:c r="E7" s="9" t="n">
        <x:f>COUNTIFS('Legacy Audit'!$D$5:$D$453,$A7,'Legacy Audit'!$M$5:$M$453,"P")</x:f>
        <x:v>0</x:v>
      </x:c>
      <x:c r="F7" s="23" t="n">
        <x:f>IF(B7=0,"",C7/B7)</x:f>
        <x:v>0.5251798561151079</x:v>
      </x:c>
      <x:c r="G7" s="23" t="n">
        <x:f>IF(B7=0,"",(SUMIFS('Legacy Audit'!$L$5:$L$453,'Legacy Audit'!$D$5:$D$453,$A7,'Legacy Audit'!$M$5:$M$453,"W")+SUMIFS('Legacy Audit'!$L$5:$L$453,'Legacy Audit'!$D$5:$D$453,$A7,'Legacy Audit'!$M$5:$M$453,"L"))/B7)</x:f>
        <x:v>0.5166187050359712</x:v>
      </x:c>
      <x:c r="H7" s="31" t="n">
        <x:f>IF(B7=0,"",SUMIFS('Legacy Audit'!$O$5:$O$453,'Legacy Audit'!$D$5:$D$453,$A7)/B7)</x:f>
        <x:v>0.24623093525179843</x:v>
      </x:c>
      <x:c r="I7" s="33" t="str">
        <x:v>UNSUPPORTED</x:v>
      </x:c>
      <x:c r="S7" t="str">
        <x:f>A7</x:f>
        <x:v>Basketball</x:v>
      </x:c>
      <x:c r="T7" t="n">
        <x:f>F7</x:f>
        <x:v>0.5251798561151079</x:v>
      </x:c>
    </x:row>
    <x:row r="8">
      <x:c r="A8" s="9" t="str">
        <x:v>Cricket</x:v>
      </x:c>
      <x:c r="B8" s="9" t="n">
        <x:f>COUNTIFS('Legacy Audit'!$D$5:$D$453,$A8,'Legacy Audit'!$M$5:$M$453,"W")+COUNTIFS('Legacy Audit'!$D$5:$D$453,$A8,'Legacy Audit'!$M$5:$M$453,"L")</x:f>
        <x:v>97</x:v>
      </x:c>
      <x:c r="C8" s="9" t="n">
        <x:f>COUNTIFS('Legacy Audit'!$D$5:$D$453,$A8,'Legacy Audit'!$M$5:$M$453,"W")</x:f>
        <x:v>54</x:v>
      </x:c>
      <x:c r="D8" s="9" t="n">
        <x:f>COUNTIFS('Legacy Audit'!$D$5:$D$453,$A8,'Legacy Audit'!$M$5:$M$453,"L")</x:f>
        <x:v>43</x:v>
      </x:c>
      <x:c r="E8" s="9" t="n">
        <x:f>COUNTIFS('Legacy Audit'!$D$5:$D$453,$A8,'Legacy Audit'!$M$5:$M$453,"P")</x:f>
        <x:v>0</x:v>
      </x:c>
      <x:c r="F8" s="23" t="n">
        <x:f>IF(B8=0,"",C8/B8)</x:f>
        <x:v>0.5567010309278351</x:v>
      </x:c>
      <x:c r="G8" s="23" t="n">
        <x:f>IF(B8=0,"",(SUMIFS('Legacy Audit'!$L$5:$L$453,'Legacy Audit'!$D$5:$D$453,$A8,'Legacy Audit'!$M$5:$M$453,"W")+SUMIFS('Legacy Audit'!$L$5:$L$453,'Legacy Audit'!$D$5:$D$453,$A8,'Legacy Audit'!$M$5:$M$453,"L"))/B8)</x:f>
        <x:v>0.5164948453608247</x:v>
      </x:c>
      <x:c r="H8" s="31" t="n">
        <x:f>IF(B8=0,"",SUMIFS('Legacy Audit'!$O$5:$O$453,'Legacy Audit'!$D$5:$D$453,$A8)/B8)</x:f>
        <x:v>0.23076494845360826</x:v>
      </x:c>
      <x:c r="I8" s="33" t="str">
        <x:v>UNSUPPORTED</x:v>
      </x:c>
      <x:c r="S8" t="str">
        <x:f>A8</x:f>
        <x:v>Cricket</x:v>
      </x:c>
      <x:c r="T8" t="n">
        <x:f>F8</x:f>
        <x:v>0.5567010309278351</x:v>
      </x:c>
    </x:row>
    <x:row r="9">
      <x:c r="A9" s="9" t="str">
        <x:v>Soccer</x:v>
      </x:c>
      <x:c r="B9" s="9" t="n">
        <x:f>COUNTIFS('Legacy Audit'!$D$5:$D$453,$A9,'Legacy Audit'!$M$5:$M$453,"W")+COUNTIFS('Legacy Audit'!$D$5:$D$453,$A9,'Legacy Audit'!$M$5:$M$453,"L")</x:f>
        <x:v>81</x:v>
      </x:c>
      <x:c r="C9" s="9" t="n">
        <x:f>COUNTIFS('Legacy Audit'!$D$5:$D$453,$A9,'Legacy Audit'!$M$5:$M$453,"W")</x:f>
        <x:v>56</x:v>
      </x:c>
      <x:c r="D9" s="9" t="n">
        <x:f>COUNTIFS('Legacy Audit'!$D$5:$D$453,$A9,'Legacy Audit'!$M$5:$M$453,"L")</x:f>
        <x:v>25</x:v>
      </x:c>
      <x:c r="E9" s="9" t="n">
        <x:f>COUNTIFS('Legacy Audit'!$D$5:$D$453,$A9,'Legacy Audit'!$M$5:$M$453,"P")</x:f>
        <x:v>0</x:v>
      </x:c>
      <x:c r="F9" s="23" t="n">
        <x:f>IF(B9=0,"",C9/B9)</x:f>
        <x:v>0.691358024691358</x:v>
      </x:c>
      <x:c r="G9" s="23" t="n">
        <x:f>IF(B9=0,"",(SUMIFS('Legacy Audit'!$L$5:$L$453,'Legacy Audit'!$D$5:$D$453,$A9,'Legacy Audit'!$M$5:$M$453,"W")+SUMIFS('Legacy Audit'!$L$5:$L$453,'Legacy Audit'!$D$5:$D$453,$A9,'Legacy Audit'!$M$5:$M$453,"L"))/B9)</x:f>
        <x:v>0.6182716049382716</x:v>
      </x:c>
      <x:c r="H9" s="31" t="n">
        <x:f>IF(B9=0,"",SUMIFS('Legacy Audit'!$O$5:$O$453,'Legacy Audit'!$D$5:$D$453,$A9)/B9)</x:f>
        <x:v>0.1488271604938272</x:v>
      </x:c>
      <x:c r="I9" s="33" t="str">
        <x:v>UNSUPPORTED</x:v>
      </x:c>
      <x:c r="S9" t="str">
        <x:f>A9</x:f>
        <x:v>Soccer</x:v>
      </x:c>
      <x:c r="T9" t="n">
        <x:f>F9</x:f>
        <x:v>0.691358024691358</x:v>
      </x:c>
    </x:row>
    <x:row r="10">
      <x:c r="A10" s="9" t="str">
        <x:v>Ice hockey</x:v>
      </x:c>
      <x:c r="B10" s="9" t="n">
        <x:f>COUNTIFS('Legacy Audit'!$D$5:$D$453,$A10,'Legacy Audit'!$M$5:$M$453,"W")+COUNTIFS('Legacy Audit'!$D$5:$D$453,$A10,'Legacy Audit'!$M$5:$M$453,"L")</x:f>
        <x:v>0</x:v>
      </x:c>
      <x:c r="C10" s="9" t="n">
        <x:f>COUNTIFS('Legacy Audit'!$D$5:$D$453,$A10,'Legacy Audit'!$M$5:$M$453,"W")</x:f>
        <x:v>0</x:v>
      </x:c>
      <x:c r="D10" s="9" t="n">
        <x:f>COUNTIFS('Legacy Audit'!$D$5:$D$453,$A10,'Legacy Audit'!$M$5:$M$453,"L")</x:f>
        <x:v>0</x:v>
      </x:c>
      <x:c r="E10" s="9" t="n">
        <x:f>COUNTIFS('Legacy Audit'!$D$5:$D$453,$A10,'Legacy Audit'!$M$5:$M$453,"P")</x:f>
        <x:v>0</x:v>
      </x:c>
      <x:c r="F10" s="23" t="str">
        <x:f>IF(B10=0,"",C10/B10)</x:f>
      </x:c>
      <x:c r="G10" s="23" t="str">
        <x:f>IF(B10=0,"",(SUMIFS('Legacy Audit'!$L$5:$L$453,'Legacy Audit'!$D$5:$D$453,$A10,'Legacy Audit'!$M$5:$M$453,"W")+SUMIFS('Legacy Audit'!$L$5:$L$453,'Legacy Audit'!$D$5:$D$453,$A10,'Legacy Audit'!$M$5:$M$453,"L"))/B10)</x:f>
      </x:c>
      <x:c r="H10" s="31" t="str">
        <x:f>IF(B10=0,"",SUMIFS('Legacy Audit'!$O$5:$O$453,'Legacy Audit'!$D$5:$D$453,$A10)/B10)</x:f>
      </x:c>
      <x:c r="I10" s="33" t="str">
        <x:v>UNSUPPORTED</x:v>
      </x:c>
    </x:row>
    <x:row r="11">
      <x:c r="A11" s="9" t="str">
        <x:v>American football</x:v>
      </x:c>
      <x:c r="B11" s="9" t="n">
        <x:f>COUNTIFS('Legacy Audit'!$D$5:$D$453,$A11,'Legacy Audit'!$M$5:$M$453,"W")+COUNTIFS('Legacy Audit'!$D$5:$D$453,$A11,'Legacy Audit'!$M$5:$M$453,"L")</x:f>
        <x:v>0</x:v>
      </x:c>
      <x:c r="C11" s="9" t="n">
        <x:f>COUNTIFS('Legacy Audit'!$D$5:$D$453,$A11,'Legacy Audit'!$M$5:$M$453,"W")</x:f>
        <x:v>0</x:v>
      </x:c>
      <x:c r="D11" s="9" t="n">
        <x:f>COUNTIFS('Legacy Audit'!$D$5:$D$453,$A11,'Legacy Audit'!$M$5:$M$453,"L")</x:f>
        <x:v>0</x:v>
      </x:c>
      <x:c r="E11" s="9" t="n">
        <x:f>COUNTIFS('Legacy Audit'!$D$5:$D$453,$A11,'Legacy Audit'!$M$5:$M$453,"P")</x:f>
        <x:v>0</x:v>
      </x:c>
      <x:c r="F11" s="23" t="str">
        <x:f>IF(B11=0,"",C11/B11)</x:f>
      </x:c>
      <x:c r="G11" s="23" t="str">
        <x:f>IF(B11=0,"",(SUMIFS('Legacy Audit'!$L$5:$L$453,'Legacy Audit'!$D$5:$D$453,$A11,'Legacy Audit'!$M$5:$M$453,"W")+SUMIFS('Legacy Audit'!$L$5:$L$453,'Legacy Audit'!$D$5:$D$453,$A11,'Legacy Audit'!$M$5:$M$453,"L"))/B11)</x:f>
      </x:c>
      <x:c r="H11" s="31" t="str">
        <x:f>IF(B11=0,"",SUMIFS('Legacy Audit'!$O$5:$O$453,'Legacy Audit'!$D$5:$D$453,$A11)/B11)</x:f>
      </x:c>
      <x:c r="I11" s="33" t="str">
        <x:v>UNSUPPORTED</x:v>
      </x:c>
    </x:row>
    <x:row r="12">
      <x:c r="A12" s="9" t="str">
        <x:v>Rugby league</x:v>
      </x:c>
      <x:c r="B12" s="9" t="n">
        <x:f>COUNTIFS('Legacy Audit'!$D$5:$D$453,$A12,'Legacy Audit'!$M$5:$M$453,"W")+COUNTIFS('Legacy Audit'!$D$5:$D$453,$A12,'Legacy Audit'!$M$5:$M$453,"L")</x:f>
        <x:v>0</x:v>
      </x:c>
      <x:c r="C12" s="9" t="n">
        <x:f>COUNTIFS('Legacy Audit'!$D$5:$D$453,$A12,'Legacy Audit'!$M$5:$M$453,"W")</x:f>
        <x:v>0</x:v>
      </x:c>
      <x:c r="D12" s="9" t="n">
        <x:f>COUNTIFS('Legacy Audit'!$D$5:$D$453,$A12,'Legacy Audit'!$M$5:$M$453,"L")</x:f>
        <x:v>0</x:v>
      </x:c>
      <x:c r="E12" s="9" t="n">
        <x:f>COUNTIFS('Legacy Audit'!$D$5:$D$453,$A12,'Legacy Audit'!$M$5:$M$453,"P")</x:f>
        <x:v>0</x:v>
      </x:c>
      <x:c r="F12" s="23" t="str">
        <x:f>IF(B12=0,"",C12/B12)</x:f>
      </x:c>
      <x:c r="G12" s="23" t="str">
        <x:f>IF(B12=0,"",(SUMIFS('Legacy Audit'!$L$5:$L$453,'Legacy Audit'!$D$5:$D$453,$A12,'Legacy Audit'!$M$5:$M$453,"W")+SUMIFS('Legacy Audit'!$L$5:$L$453,'Legacy Audit'!$D$5:$D$453,$A12,'Legacy Audit'!$M$5:$M$453,"L"))/B12)</x:f>
      </x:c>
      <x:c r="H12" s="31" t="str">
        <x:f>IF(B12=0,"",SUMIFS('Legacy Audit'!$O$5:$O$453,'Legacy Audit'!$D$5:$D$453,$A12)/B12)</x:f>
      </x:c>
      <x:c r="I12" s="33" t="str">
        <x:v>UNSUPPORTED</x:v>
      </x:c>
    </x:row>
    <x:row r="13">
      <x:c r="A13" s="9" t="str">
        <x:v>Tennis</x:v>
      </x:c>
      <x:c r="B13" s="9" t="n">
        <x:f>COUNTIFS('Legacy Audit'!$D$5:$D$453,$A13,'Legacy Audit'!$M$5:$M$453,"W")+COUNTIFS('Legacy Audit'!$D$5:$D$453,$A13,'Legacy Audit'!$M$5:$M$453,"L")</x:f>
        <x:v>0</x:v>
      </x:c>
      <x:c r="C13" s="9" t="n">
        <x:f>COUNTIFS('Legacy Audit'!$D$5:$D$453,$A13,'Legacy Audit'!$M$5:$M$453,"W")</x:f>
        <x:v>0</x:v>
      </x:c>
      <x:c r="D13" s="9" t="n">
        <x:f>COUNTIFS('Legacy Audit'!$D$5:$D$453,$A13,'Legacy Audit'!$M$5:$M$453,"L")</x:f>
        <x:v>0</x:v>
      </x:c>
      <x:c r="E13" s="9" t="n">
        <x:f>COUNTIFS('Legacy Audit'!$D$5:$D$453,$A13,'Legacy Audit'!$M$5:$M$453,"P")</x:f>
        <x:v>0</x:v>
      </x:c>
      <x:c r="F13" s="23" t="str">
        <x:f>IF(B13=0,"",C13/B13)</x:f>
      </x:c>
      <x:c r="G13" s="23" t="str">
        <x:f>IF(B13=0,"",(SUMIFS('Legacy Audit'!$L$5:$L$453,'Legacy Audit'!$D$5:$D$453,$A13,'Legacy Audit'!$M$5:$M$453,"W")+SUMIFS('Legacy Audit'!$L$5:$L$453,'Legacy Audit'!$D$5:$D$453,$A13,'Legacy Audit'!$M$5:$M$453,"L"))/B13)</x:f>
      </x:c>
      <x:c r="H13" s="31" t="str">
        <x:f>IF(B13=0,"",SUMIFS('Legacy Audit'!$O$5:$O$453,'Legacy Audit'!$D$5:$D$453,$A13)/B13)</x:f>
      </x:c>
      <x:c r="I13" s="33" t="str">
        <x:v>UNSUPPORTED</x:v>
      </x:c>
    </x:row>
    <x:row r="14">
      <x:c r="A14" s="9" t="str">
        <x:v>Golf</x:v>
      </x:c>
      <x:c r="B14" s="9" t="n">
        <x:f>COUNTIFS('Legacy Audit'!$D$5:$D$453,$A14,'Legacy Audit'!$M$5:$M$453,"W")+COUNTIFS('Legacy Audit'!$D$5:$D$453,$A14,'Legacy Audit'!$M$5:$M$453,"L")</x:f>
        <x:v>0</x:v>
      </x:c>
      <x:c r="C14" s="9" t="n">
        <x:f>COUNTIFS('Legacy Audit'!$D$5:$D$453,$A14,'Legacy Audit'!$M$5:$M$453,"W")</x:f>
        <x:v>0</x:v>
      </x:c>
      <x:c r="D14" s="9" t="n">
        <x:f>COUNTIFS('Legacy Audit'!$D$5:$D$453,$A14,'Legacy Audit'!$M$5:$M$453,"L")</x:f>
        <x:v>0</x:v>
      </x:c>
      <x:c r="E14" s="9" t="n">
        <x:f>COUNTIFS('Legacy Audit'!$D$5:$D$453,$A14,'Legacy Audit'!$M$5:$M$453,"P")</x:f>
        <x:v>0</x:v>
      </x:c>
      <x:c r="F14" s="23" t="str">
        <x:f>IF(B14=0,"",C14/B14)</x:f>
      </x:c>
      <x:c r="G14" s="23" t="str">
        <x:f>IF(B14=0,"",(SUMIFS('Legacy Audit'!$L$5:$L$453,'Legacy Audit'!$D$5:$D$453,$A14,'Legacy Audit'!$M$5:$M$453,"W")+SUMIFS('Legacy Audit'!$L$5:$L$453,'Legacy Audit'!$D$5:$D$453,$A14,'Legacy Audit'!$M$5:$M$453,"L"))/B14)</x:f>
      </x:c>
      <x:c r="H14" s="31" t="str">
        <x:f>IF(B14=0,"",SUMIFS('Legacy Audit'!$O$5:$O$453,'Legacy Audit'!$D$5:$D$453,$A14)/B14)</x:f>
      </x:c>
      <x:c r="I14" s="33" t="str">
        <x:v>UNSUPPORTED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07af53e9219b4593"/>
  <x:tableParts count="1">
    <x:tablePart xmlns:r="http://schemas.openxmlformats.org/officeDocument/2006/relationships" r:id="R67953afa997740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12" hidden="0" customWidth="1"/>
    <x:col min="7" max="7" width="15" hidden="0" customWidth="1"/>
    <x:col min="8" max="8" width="38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3" t="str">
        <x:v>Legacy Performance by Rank Slot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The old rank hierarchy failed its own targets and is retired. Rank is not an active v3 field.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22" t="str">
        <x:v>Legacy rank</x:v>
      </x:c>
      <x:c r="B4" s="22" t="str">
        <x:v>Decisions</x:v>
      </x:c>
      <x:c r="C4" s="22" t="str">
        <x:v>W</x:v>
      </x:c>
      <x:c r="D4" s="22" t="str">
        <x:v>L</x:v>
      </x:c>
      <x:c r="E4" s="22" t="str">
        <x:v>P</x:v>
      </x:c>
      <x:c r="F4" s="22" t="str">
        <x:v>Hit rate</x:v>
      </x:c>
      <x:c r="G4" s="22" t="str">
        <x:v>Mean stated p</x:v>
      </x:c>
      <x:c r="H4" s="22" t="str">
        <x:v>Interpretation</x:v>
      </x:c>
      <x:c r="S4" t="str">
        <x:v>Legacy rank</x:v>
      </x:c>
      <x:c r="T4" t="str">
        <x:v>Hit rate</x:v>
      </x:c>
    </x:row>
    <x:row r="5">
      <x:c r="A5" s="9" t="n">
        <x:v>1</x:v>
      </x:c>
      <x:c r="B5" s="9" t="n">
        <x:f>COUNTIFS('Legacy Audit'!$I$5:$I$453,$A5,'Legacy Audit'!$M$5:$M$453,"W")+COUNTIFS('Legacy Audit'!$I$5:$I$453,$A5,'Legacy Audit'!$M$5:$M$453,"L")</x:f>
        <x:v>103</x:v>
      </x:c>
      <x:c r="C5" s="9" t="n">
        <x:f>COUNTIFS('Legacy Audit'!$I$5:$I$453,$A5,'Legacy Audit'!$M$5:$M$453,"W")</x:f>
        <x:v>69</x:v>
      </x:c>
      <x:c r="D5" s="9" t="n">
        <x:f>COUNTIFS('Legacy Audit'!$I$5:$I$453,$A5,'Legacy Audit'!$M$5:$M$453,"L")</x:f>
        <x:v>34</x:v>
      </x:c>
      <x:c r="E5" s="9" t="n">
        <x:f>COUNTIFS('Legacy Audit'!$I$5:$I$453,$A5,'Legacy Audit'!$M$5:$M$453,"P")</x:f>
        <x:v>0</x:v>
      </x:c>
      <x:c r="F5" s="23" t="n">
        <x:f>IF(B5=0,"",C5/B5)</x:f>
        <x:v>0.6699029126213593</x:v>
      </x:c>
      <x:c r="G5" s="23" t="n">
        <x:f>IF(B5=0,"",(SUMIFS('Legacy Audit'!$L$5:$L$453,'Legacy Audit'!$I$5:$I$453,$A5,'Legacy Audit'!$M$5:$M$453,"W")+SUMIFS('Legacy Audit'!$L$5:$L$453,'Legacy Audit'!$I$5:$I$453,$A5,'Legacy Audit'!$M$5:$M$453,"L"))/B5)</x:f>
        <x:v>0.6549514563106795</x:v>
      </x:c>
      <x:c r="H5" s="10" t="str">
        <x:v>Below former 80% target</x:v>
      </x:c>
      <x:c r="S5" t="n">
        <x:f>A5</x:f>
        <x:v>1</x:v>
      </x:c>
      <x:c r="T5" t="n">
        <x:f>F5</x:f>
        <x:v>0.6699029126213593</x:v>
      </x:c>
    </x:row>
    <x:row r="6">
      <x:c r="A6" s="9" t="n">
        <x:v>2</x:v>
      </x:c>
      <x:c r="B6" s="9" t="n">
        <x:f>COUNTIFS('Legacy Audit'!$I$5:$I$453,$A6,'Legacy Audit'!$M$5:$M$453,"W")+COUNTIFS('Legacy Audit'!$I$5:$I$453,$A6,'Legacy Audit'!$M$5:$M$453,"L")</x:f>
        <x:v>99</x:v>
      </x:c>
      <x:c r="C6" s="9" t="n">
        <x:f>COUNTIFS('Legacy Audit'!$I$5:$I$453,$A6,'Legacy Audit'!$M$5:$M$453,"W")</x:f>
        <x:v>62</x:v>
      </x:c>
      <x:c r="D6" s="9" t="n">
        <x:f>COUNTIFS('Legacy Audit'!$I$5:$I$453,$A6,'Legacy Audit'!$M$5:$M$453,"L")</x:f>
        <x:v>37</x:v>
      </x:c>
      <x:c r="E6" s="9" t="n">
        <x:f>COUNTIFS('Legacy Audit'!$I$5:$I$453,$A6,'Legacy Audit'!$M$5:$M$453,"P")</x:f>
        <x:v>1</x:v>
      </x:c>
      <x:c r="F6" s="23" t="n">
        <x:f>IF(B6=0,"",C6/B6)</x:f>
        <x:v>0.6262626262626263</x:v>
      </x:c>
      <x:c r="G6" s="23" t="n">
        <x:f>IF(B6=0,"",(SUMIFS('Legacy Audit'!$L$5:$L$453,'Legacy Audit'!$I$5:$I$453,$A6,'Legacy Audit'!$M$5:$M$453,"W")+SUMIFS('Legacy Audit'!$L$5:$L$453,'Legacy Audit'!$I$5:$I$453,$A6,'Legacy Audit'!$M$5:$M$453,"L"))/B6)</x:f>
        <x:v>0.5979797979797978</x:v>
      </x:c>
      <x:c r="H6" s="10" t="str">
        <x:v>Retrospective only</x:v>
      </x:c>
      <x:c r="S6" t="n">
        <x:f>A6</x:f>
        <x:v>2</x:v>
      </x:c>
      <x:c r="T6" t="n">
        <x:f>F6</x:f>
        <x:v>0.6262626262626263</x:v>
      </x:c>
    </x:row>
    <x:row r="7">
      <x:c r="A7" s="9" t="n">
        <x:v>3</x:v>
      </x:c>
      <x:c r="B7" s="9" t="n">
        <x:f>COUNTIFS('Legacy Audit'!$I$5:$I$453,$A7,'Legacy Audit'!$M$5:$M$453,"W")+COUNTIFS('Legacy Audit'!$I$5:$I$453,$A7,'Legacy Audit'!$M$5:$M$453,"L")</x:f>
        <x:v>97</x:v>
      </x:c>
      <x:c r="C7" s="9" t="n">
        <x:f>COUNTIFS('Legacy Audit'!$I$5:$I$453,$A7,'Legacy Audit'!$M$5:$M$453,"W")</x:f>
        <x:v>54</x:v>
      </x:c>
      <x:c r="D7" s="9" t="n">
        <x:f>COUNTIFS('Legacy Audit'!$I$5:$I$453,$A7,'Legacy Audit'!$M$5:$M$453,"L")</x:f>
        <x:v>43</x:v>
      </x:c>
      <x:c r="E7" s="9" t="n">
        <x:f>COUNTIFS('Legacy Audit'!$I$5:$I$453,$A7,'Legacy Audit'!$M$5:$M$453,"P")</x:f>
        <x:v>1</x:v>
      </x:c>
      <x:c r="F7" s="23" t="n">
        <x:f>IF(B7=0,"",C7/B7)</x:f>
        <x:v>0.5567010309278351</x:v>
      </x:c>
      <x:c r="G7" s="23" t="n">
        <x:f>IF(B7=0,"",(SUMIFS('Legacy Audit'!$L$5:$L$453,'Legacy Audit'!$I$5:$I$453,$A7,'Legacy Audit'!$M$5:$M$453,"W")+SUMIFS('Legacy Audit'!$L$5:$L$453,'Legacy Audit'!$I$5:$I$453,$A7,'Legacy Audit'!$M$5:$M$453,"L"))/B7)</x:f>
        <x:v>0.5240206185567011</x:v>
      </x:c>
      <x:c r="H7" s="10" t="str">
        <x:v>Retrospective only</x:v>
      </x:c>
      <x:c r="S7" t="n">
        <x:f>A7</x:f>
        <x:v>3</x:v>
      </x:c>
      <x:c r="T7" t="n">
        <x:f>F7</x:f>
        <x:v>0.5567010309278351</x:v>
      </x:c>
    </x:row>
    <x:row r="8">
      <x:c r="A8" s="9" t="n">
        <x:v>4</x:v>
      </x:c>
      <x:c r="B8" s="9" t="n">
        <x:f>COUNTIFS('Legacy Audit'!$I$5:$I$453,$A8,'Legacy Audit'!$M$5:$M$453,"W")+COUNTIFS('Legacy Audit'!$I$5:$I$453,$A8,'Legacy Audit'!$M$5:$M$453,"L")</x:f>
        <x:v>98</x:v>
      </x:c>
      <x:c r="C8" s="9" t="n">
        <x:f>COUNTIFS('Legacy Audit'!$I$5:$I$453,$A8,'Legacy Audit'!$M$5:$M$453,"W")</x:f>
        <x:v>46</x:v>
      </x:c>
      <x:c r="D8" s="9" t="n">
        <x:f>COUNTIFS('Legacy Audit'!$I$5:$I$453,$A8,'Legacy Audit'!$M$5:$M$453,"L")</x:f>
        <x:v>52</x:v>
      </x:c>
      <x:c r="E8" s="9" t="n">
        <x:f>COUNTIFS('Legacy Audit'!$I$5:$I$453,$A8,'Legacy Audit'!$M$5:$M$453,"P")</x:f>
        <x:v>0</x:v>
      </x:c>
      <x:c r="F8" s="23" t="n">
        <x:f>IF(B8=0,"",C8/B8)</x:f>
        <x:v>0.46938775510204084</x:v>
      </x:c>
      <x:c r="G8" s="23" t="n">
        <x:f>IF(B8=0,"",(SUMIFS('Legacy Audit'!$L$5:$L$453,'Legacy Audit'!$I$5:$I$453,$A8,'Legacy Audit'!$M$5:$M$453,"W")+SUMIFS('Legacy Audit'!$L$5:$L$453,'Legacy Audit'!$I$5:$I$453,$A8,'Legacy Audit'!$M$5:$M$453,"L"))/B8)</x:f>
        <x:v>0.45010204081632654</x:v>
      </x:c>
      <x:c r="H8" s="10" t="str">
        <x:v>Bottom slot won too often</x:v>
      </x:c>
      <x:c r="S8" t="n">
        <x:f>A8</x:f>
        <x:v>4</x:v>
      </x:c>
      <x:c r="T8" t="n">
        <x:f>F8</x:f>
        <x:v>0.46938775510204084</x:v>
      </x:c>
    </x:row>
    <x:row r="9">
      <x:c r="A9" s="9" t="n">
        <x:v>5</x:v>
      </x:c>
      <x:c r="B9" s="9" t="n">
        <x:f>COUNTIFS('Legacy Audit'!$I$5:$I$453,$A9,'Legacy Audit'!$M$5:$M$453,"W")+COUNTIFS('Legacy Audit'!$I$5:$I$453,$A9,'Legacy Audit'!$M$5:$M$453,"L")</x:f>
        <x:v>15</x:v>
      </x:c>
      <x:c r="C9" s="9" t="n">
        <x:f>COUNTIFS('Legacy Audit'!$I$5:$I$453,$A9,'Legacy Audit'!$M$5:$M$453,"W")</x:f>
        <x:v>3</x:v>
      </x:c>
      <x:c r="D9" s="9" t="n">
        <x:f>COUNTIFS('Legacy Audit'!$I$5:$I$453,$A9,'Legacy Audit'!$M$5:$M$453,"L")</x:f>
        <x:v>12</x:v>
      </x:c>
      <x:c r="E9" s="9" t="n">
        <x:f>COUNTIFS('Legacy Audit'!$I$5:$I$453,$A9,'Legacy Audit'!$M$5:$M$453,"P")</x:f>
        <x:v>0</x:v>
      </x:c>
      <x:c r="F9" s="23" t="n">
        <x:f>IF(B9=0,"",C9/B9)</x:f>
        <x:v>0.2</x:v>
      </x:c>
      <x:c r="G9" s="23" t="n">
        <x:f>IF(B9=0,"",(SUMIFS('Legacy Audit'!$L$5:$L$453,'Legacy Audit'!$I$5:$I$453,$A9,'Legacy Audit'!$M$5:$M$453,"W")+SUMIFS('Legacy Audit'!$L$5:$L$453,'Legacy Audit'!$I$5:$I$453,$A9,'Legacy Audit'!$M$5:$M$453,"L"))/B9)</x:f>
        <x:v>0.44666666666666666</x:v>
      </x:c>
      <x:c r="H9" s="10" t="str">
        <x:v>Retrospective only</x:v>
      </x:c>
      <x:c r="S9" t="n">
        <x:f>A9</x:f>
        <x:v>5</x:v>
      </x:c>
      <x:c r="T9" t="n">
        <x:f>F9</x:f>
        <x:v>0.2</x:v>
      </x:c>
    </x:row>
    <x:row r="10">
      <x:c r="A10" s="9" t="n">
        <x:v>6</x:v>
      </x:c>
      <x:c r="B10" s="9" t="n">
        <x:f>COUNTIFS('Legacy Audit'!$I$5:$I$453,$A10,'Legacy Audit'!$M$5:$M$453,"W")+COUNTIFS('Legacy Audit'!$I$5:$I$453,$A10,'Legacy Audit'!$M$5:$M$453,"L")</x:f>
        <x:v>15</x:v>
      </x:c>
      <x:c r="C10" s="9" t="n">
        <x:f>COUNTIFS('Legacy Audit'!$I$5:$I$453,$A10,'Legacy Audit'!$M$5:$M$453,"W")</x:f>
        <x:v>10</x:v>
      </x:c>
      <x:c r="D10" s="9" t="n">
        <x:f>COUNTIFS('Legacy Audit'!$I$5:$I$453,$A10,'Legacy Audit'!$M$5:$M$453,"L")</x:f>
        <x:v>5</x:v>
      </x:c>
      <x:c r="E10" s="9" t="n">
        <x:f>COUNTIFS('Legacy Audit'!$I$5:$I$453,$A10,'Legacy Audit'!$M$5:$M$453,"P")</x:f>
        <x:v>0</x:v>
      </x:c>
      <x:c r="F10" s="23" t="n">
        <x:f>IF(B10=0,"",C10/B10)</x:f>
        <x:v>0.6666666666666666</x:v>
      </x:c>
      <x:c r="G10" s="23" t="n">
        <x:f>IF(B10=0,"",(SUMIFS('Legacy Audit'!$L$5:$L$453,'Legacy Audit'!$I$5:$I$453,$A10,'Legacy Audit'!$M$5:$M$453,"W")+SUMIFS('Legacy Audit'!$L$5:$L$453,'Legacy Audit'!$I$5:$I$453,$A10,'Legacy Audit'!$M$5:$M$453,"L"))/B10)</x:f>
        <x:v>0.4046666666666667</x:v>
      </x:c>
      <x:c r="H10" s="10" t="str">
        <x:v>Severe ordering inversion / small n</x:v>
      </x:c>
      <x:c r="S10" t="n">
        <x:f>A10</x:f>
        <x:v>6</x:v>
      </x:c>
      <x:c r="T10" t="n">
        <x:f>F10</x:f>
        <x:v>0.6666666666666666</x:v>
      </x:c>
    </x:row>
    <x:row r="11">
      <x:c r="A11" s="9" t="n">
        <x:v>7</x:v>
      </x:c>
      <x:c r="B11" s="9" t="n">
        <x:f>COUNTIFS('Legacy Audit'!$I$5:$I$453,$A11,'Legacy Audit'!$M$5:$M$453,"W")+COUNTIFS('Legacy Audit'!$I$5:$I$453,$A11,'Legacy Audit'!$M$5:$M$453,"L")</x:f>
        <x:v>8</x:v>
      </x:c>
      <x:c r="C11" s="9" t="n">
        <x:f>COUNTIFS('Legacy Audit'!$I$5:$I$453,$A11,'Legacy Audit'!$M$5:$M$453,"W")</x:f>
        <x:v>6</x:v>
      </x:c>
      <x:c r="D11" s="9" t="n">
        <x:f>COUNTIFS('Legacy Audit'!$I$5:$I$453,$A11,'Legacy Audit'!$M$5:$M$453,"L")</x:f>
        <x:v>2</x:v>
      </x:c>
      <x:c r="E11" s="9" t="n">
        <x:f>COUNTIFS('Legacy Audit'!$I$5:$I$453,$A11,'Legacy Audit'!$M$5:$M$453,"P")</x:f>
        <x:v>0</x:v>
      </x:c>
      <x:c r="F11" s="23" t="n">
        <x:f>IF(B11=0,"",C11/B11)</x:f>
        <x:v>0.75</x:v>
      </x:c>
      <x:c r="G11" s="23" t="n">
        <x:f>IF(B11=0,"",(SUMIFS('Legacy Audit'!$L$5:$L$453,'Legacy Audit'!$I$5:$I$453,$A11,'Legacy Audit'!$M$5:$M$453,"W")+SUMIFS('Legacy Audit'!$L$5:$L$453,'Legacy Audit'!$I$5:$I$453,$A11,'Legacy Audit'!$M$5:$M$453,"L"))/B11)</x:f>
        <x:v>0.39625</x:v>
      </x:c>
      <x:c r="H11" s="10" t="str">
        <x:v>Severe ordering inversion / small n</x:v>
      </x:c>
      <x:c r="S11" t="n">
        <x:f>A11</x:f>
        <x:v>7</x:v>
      </x:c>
      <x:c r="T11" t="n">
        <x:f>F11</x:f>
        <x:v>0.75</x:v>
      </x:c>
    </x:row>
    <x:row r="12">
      <x:c r="A12" s="9" t="n">
        <x:v>8</x:v>
      </x:c>
      <x:c r="B12" s="9" t="n">
        <x:f>COUNTIFS('Legacy Audit'!$I$5:$I$453,$A12,'Legacy Audit'!$M$5:$M$453,"W")+COUNTIFS('Legacy Audit'!$I$5:$I$453,$A12,'Legacy Audit'!$M$5:$M$453,"L")</x:f>
        <x:v>8</x:v>
      </x:c>
      <x:c r="C12" s="9" t="n">
        <x:f>COUNTIFS('Legacy Audit'!$I$5:$I$453,$A12,'Legacy Audit'!$M$5:$M$453,"W")</x:f>
        <x:v>3</x:v>
      </x:c>
      <x:c r="D12" s="9" t="n">
        <x:f>COUNTIFS('Legacy Audit'!$I$5:$I$453,$A12,'Legacy Audit'!$M$5:$M$453,"L")</x:f>
        <x:v>5</x:v>
      </x:c>
      <x:c r="E12" s="9" t="n">
        <x:f>COUNTIFS('Legacy Audit'!$I$5:$I$453,$A12,'Legacy Audit'!$M$5:$M$453,"P")</x:f>
        <x:v>0</x:v>
      </x:c>
      <x:c r="F12" s="23" t="n">
        <x:f>IF(B12=0,"",C12/B12)</x:f>
        <x:v>0.375</x:v>
      </x:c>
      <x:c r="G12" s="23" t="n">
        <x:f>IF(B12=0,"",(SUMIFS('Legacy Audit'!$L$5:$L$453,'Legacy Audit'!$I$5:$I$453,$A12,'Legacy Audit'!$M$5:$M$453,"W")+SUMIFS('Legacy Audit'!$L$5:$L$453,'Legacy Audit'!$I$5:$I$453,$A12,'Legacy Audit'!$M$5:$M$453,"L"))/B12)</x:f>
        <x:v>0.36749999999999994</x:v>
      </x:c>
      <x:c r="H12" s="10" t="str">
        <x:v>Severe ordering inversion / small n</x:v>
      </x:c>
      <x:c r="S12" t="n">
        <x:f>A12</x:f>
        <x:v>8</x:v>
      </x:c>
      <x:c r="T12" t="n">
        <x:f>F12</x:f>
        <x:v>0.375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b8f7a404d7c8463c"/>
  <x:tableParts count="1">
    <x:tablePart xmlns:r="http://schemas.openxmlformats.org/officeDocument/2006/relationships" r:id="Rb660cfc7bec54e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9" hidden="0" customWidth="1"/>
    <x:col min="5" max="5" width="9" hidden="0" customWidth="1"/>
    <x:col min="6" max="6" width="13" hidden="0" customWidth="1"/>
    <x:col min="7" max="7" width="13" hidden="0" customWidth="1"/>
    <x:col min="8" max="8" width="12" hidden="0" customWidth="1"/>
    <x:col min="9" max="9" width="3" hidden="0" customWidth="1"/>
    <x:col min="10" max="10" width="13" hidden="0" customWidth="1"/>
    <x:col min="11" max="11" width="16" hidden="0" customWidth="1"/>
    <x:col min="12" max="12" width="14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</x:cols>
  <x:sheetData>
    <x:row r="1" ht="30" customHeight="1">
      <x:c r="A1" s="3" t="str">
        <x:v>Legacy Reliability 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Fixed deciles are shown only as a descriptive diagnostic. The lock is unverified and selections are correlated; this is not evidence of production calibration.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22" t="str">
        <x:v>Bucket</x:v>
      </x:c>
      <x:c r="B4" s="22" t="str">
        <x:v>Low</x:v>
      </x:c>
      <x:c r="C4" s="22" t="str">
        <x:v>High</x:v>
      </x:c>
      <x:c r="D4" s="22" t="str">
        <x:v>N</x:v>
      </x:c>
      <x:c r="E4" s="22" t="str">
        <x:v>Wins</x:v>
      </x:c>
      <x:c r="F4" s="22" t="str">
        <x:v>Mean p</x:v>
      </x:c>
      <x:c r="G4" s="22" t="str">
        <x:v>Observed</x:v>
      </x:c>
      <x:c r="H4" s="22" t="str">
        <x:v>Brier</x:v>
      </x:c>
      <x:c r="J4" t="str">
        <x:v>Bucket</x:v>
      </x:c>
      <x:c r="K4" t="str">
        <x:v>Mean predicted</x:v>
      </x:c>
      <x:c r="L4" t="str">
        <x:v>Observed</x:v>
      </x:c>
    </x:row>
    <x:row r="5">
      <x:c r="A5" s="9" t="str">
        <x:v>0-9%</x:v>
      </x:c>
      <x:c r="B5" s="34" t="n">
        <x:v>0</x:v>
      </x:c>
      <x:c r="C5" s="34" t="n">
        <x:v>0.1</x:v>
      </x:c>
      <x:c r="D5" s="9" t="n">
        <x:f>COUNTIFS('Legacy Audit'!$L$5:$L$453,"&gt;=0",'Legacy Audit'!$L$5:$L$453,"&lt;0.1",'Legacy Audit'!$M$5:$M$453,"W")+COUNTIFS('Legacy Audit'!$L$5:$L$453,"&gt;=0",'Legacy Audit'!$L$5:$L$453,"&lt;0.1",'Legacy Audit'!$M$5:$M$453,"L")</x:f>
        <x:v>2</x:v>
      </x:c>
      <x:c r="E5" s="9" t="n">
        <x:f>COUNTIFS('Legacy Audit'!$L$5:$L$453,"&gt;=0",'Legacy Audit'!$L$5:$L$453,"&lt;0.1",'Legacy Audit'!$M$5:$M$453,"W")</x:f>
        <x:v>0</x:v>
      </x:c>
      <x:c r="F5" s="23" t="n">
        <x:f>IF(D5=0,"",(SUMIFS('Legacy Audit'!$L$5:$L$453,'Legacy Audit'!$L$5:$L$453,"&gt;=0",'Legacy Audit'!$L$5:$L$453,"&lt;0.1",'Legacy Audit'!$M$5:$M$453,"W")+SUMIFS('Legacy Audit'!$L$5:$L$453,'Legacy Audit'!$L$5:$L$453,"&gt;=0",'Legacy Audit'!$L$5:$L$453,"&lt;0.1",'Legacy Audit'!$M$5:$M$453,"L"))/D5)</x:f>
        <x:v>0.07</x:v>
      </x:c>
      <x:c r="G5" s="23" t="n">
        <x:f>IF(D5=0,"",E5/D5)</x:f>
        <x:v>0</x:v>
      </x:c>
      <x:c r="H5" s="24" t="n">
        <x:f>IF(D5=0,"",SUMIFS('Legacy Audit'!$O$5:$O$453,'Legacy Audit'!$L$5:$L$453,"&gt;=0",'Legacy Audit'!$L$5:$L$453,"&lt;0.1")/D5)</x:f>
        <x:v>0.005</x:v>
      </x:c>
      <x:c r="J5" t="str">
        <x:f>A5</x:f>
        <x:v>0-9%</x:v>
      </x:c>
      <x:c r="K5" t="n">
        <x:f>F5</x:f>
        <x:v>0.07</x:v>
      </x:c>
      <x:c r="L5" t="n">
        <x:f>G5</x:f>
        <x:v>0</x:v>
      </x:c>
    </x:row>
    <x:row r="6">
      <x:c r="A6" s="9" t="str">
        <x:v>10-19%</x:v>
      </x:c>
      <x:c r="B6" s="34" t="n">
        <x:v>0.1</x:v>
      </x:c>
      <x:c r="C6" s="34" t="n">
        <x:v>0.2</x:v>
      </x:c>
      <x:c r="D6" s="9" t="n">
        <x:f>COUNTIFS('Legacy Audit'!$L$5:$L$453,"&gt;=0.1",'Legacy Audit'!$L$5:$L$453,"&lt;0.2",'Legacy Audit'!$M$5:$M$453,"W")+COUNTIFS('Legacy Audit'!$L$5:$L$453,"&gt;=0.1",'Legacy Audit'!$L$5:$L$453,"&lt;0.2",'Legacy Audit'!$M$5:$M$453,"L")</x:f>
        <x:v>4</x:v>
      </x:c>
      <x:c r="E6" s="9" t="n">
        <x:f>COUNTIFS('Legacy Audit'!$L$5:$L$453,"&gt;=0.1",'Legacy Audit'!$L$5:$L$453,"&lt;0.2",'Legacy Audit'!$M$5:$M$453,"W")</x:f>
        <x:v>0</x:v>
      </x:c>
      <x:c r="F6" s="23" t="n">
        <x:f>IF(D6=0,"",(SUMIFS('Legacy Audit'!$L$5:$L$453,'Legacy Audit'!$L$5:$L$453,"&gt;=0.1",'Legacy Audit'!$L$5:$L$453,"&lt;0.2",'Legacy Audit'!$M$5:$M$453,"W")+SUMIFS('Legacy Audit'!$L$5:$L$453,'Legacy Audit'!$L$5:$L$453,"&gt;=0.1",'Legacy Audit'!$L$5:$L$453,"&lt;0.2",'Legacy Audit'!$M$5:$M$453,"L"))/D6)</x:f>
        <x:v>0.18</x:v>
      </x:c>
      <x:c r="G6" s="23" t="n">
        <x:f>IF(D6=0,"",E6/D6)</x:f>
        <x:v>0</x:v>
      </x:c>
      <x:c r="H6" s="24" t="n">
        <x:f>IF(D6=0,"",SUMIFS('Legacy Audit'!$O$5:$O$453,'Legacy Audit'!$L$5:$L$453,"&gt;=0.1",'Legacy Audit'!$L$5:$L$453,"&lt;0.2")/D6)</x:f>
        <x:v>0.0324</x:v>
      </x:c>
      <x:c r="J6" t="str">
        <x:f>A6</x:f>
        <x:v>10-19%</x:v>
      </x:c>
      <x:c r="K6" t="n">
        <x:f>F6</x:f>
        <x:v>0.18</x:v>
      </x:c>
      <x:c r="L6" t="n">
        <x:f>G6</x:f>
        <x:v>0</x:v>
      </x:c>
    </x:row>
    <x:row r="7">
      <x:c r="A7" s="9" t="str">
        <x:v>20-29%</x:v>
      </x:c>
      <x:c r="B7" s="34" t="n">
        <x:v>0.2</x:v>
      </x:c>
      <x:c r="C7" s="34" t="n">
        <x:v>0.3</x:v>
      </x:c>
      <x:c r="D7" s="9" t="n">
        <x:f>COUNTIFS('Legacy Audit'!$L$5:$L$453,"&gt;=0.2",'Legacy Audit'!$L$5:$L$453,"&lt;0.3",'Legacy Audit'!$M$5:$M$453,"W")+COUNTIFS('Legacy Audit'!$L$5:$L$453,"&gt;=0.2",'Legacy Audit'!$L$5:$L$453,"&lt;0.3",'Legacy Audit'!$M$5:$M$453,"L")</x:f>
        <x:v>4</x:v>
      </x:c>
      <x:c r="E7" s="9" t="n">
        <x:f>COUNTIFS('Legacy Audit'!$L$5:$L$453,"&gt;=0.2",'Legacy Audit'!$L$5:$L$453,"&lt;0.3",'Legacy Audit'!$M$5:$M$453,"W")</x:f>
        <x:v>2</x:v>
      </x:c>
      <x:c r="F7" s="23" t="n">
        <x:f>IF(D7=0,"",(SUMIFS('Legacy Audit'!$L$5:$L$453,'Legacy Audit'!$L$5:$L$453,"&gt;=0.2",'Legacy Audit'!$L$5:$L$453,"&lt;0.3",'Legacy Audit'!$M$5:$M$453,"W")+SUMIFS('Legacy Audit'!$L$5:$L$453,'Legacy Audit'!$L$5:$L$453,"&gt;=0.2",'Legacy Audit'!$L$5:$L$453,"&lt;0.3",'Legacy Audit'!$M$5:$M$453,"L"))/D7)</x:f>
        <x:v>0.245</x:v>
      </x:c>
      <x:c r="G7" s="23" t="n">
        <x:f>IF(D7=0,"",E7/D7)</x:f>
        <x:v>0.5</x:v>
      </x:c>
      <x:c r="H7" s="24" t="n">
        <x:f>IF(D7=0,"",SUMIFS('Legacy Audit'!$O$5:$O$453,'Legacy Audit'!$L$5:$L$453,"&gt;=0.2",'Legacy Audit'!$L$5:$L$453,"&lt;0.3")/D7)</x:f>
        <x:v>0.3005</x:v>
      </x:c>
      <x:c r="J7" t="str">
        <x:f>A7</x:f>
        <x:v>20-29%</x:v>
      </x:c>
      <x:c r="K7" t="n">
        <x:f>F7</x:f>
        <x:v>0.245</x:v>
      </x:c>
      <x:c r="L7" t="n">
        <x:f>G7</x:f>
        <x:v>0.5</x:v>
      </x:c>
    </x:row>
    <x:row r="8">
      <x:c r="A8" s="9" t="str">
        <x:v>30-39%</x:v>
      </x:c>
      <x:c r="B8" s="34" t="n">
        <x:v>0.3</x:v>
      </x:c>
      <x:c r="C8" s="34" t="n">
        <x:v>0.4</x:v>
      </x:c>
      <x:c r="D8" s="9" t="n">
        <x:f>COUNTIFS('Legacy Audit'!$L$5:$L$453,"&gt;=0.3",'Legacy Audit'!$L$5:$L$453,"&lt;0.4",'Legacy Audit'!$M$5:$M$453,"W")+COUNTIFS('Legacy Audit'!$L$5:$L$453,"&gt;=0.3",'Legacy Audit'!$L$5:$L$453,"&lt;0.4",'Legacy Audit'!$M$5:$M$453,"L")</x:f>
        <x:v>37</x:v>
      </x:c>
      <x:c r="E8" s="9" t="n">
        <x:f>COUNTIFS('Legacy Audit'!$L$5:$L$453,"&gt;=0.3",'Legacy Audit'!$L$5:$L$453,"&lt;0.4",'Legacy Audit'!$M$5:$M$453,"W")</x:f>
        <x:v>17</x:v>
      </x:c>
      <x:c r="F8" s="23" t="n">
        <x:f>IF(D8=0,"",(SUMIFS('Legacy Audit'!$L$5:$L$453,'Legacy Audit'!$L$5:$L$453,"&gt;=0.3",'Legacy Audit'!$L$5:$L$453,"&lt;0.4",'Legacy Audit'!$M$5:$M$453,"W")+SUMIFS('Legacy Audit'!$L$5:$L$453,'Legacy Audit'!$L$5:$L$453,"&gt;=0.3",'Legacy Audit'!$L$5:$L$453,"&lt;0.4",'Legacy Audit'!$M$5:$M$453,"L"))/D8)</x:f>
        <x:v>0.3651351351351352</x:v>
      </x:c>
      <x:c r="G8" s="23" t="n">
        <x:f>IF(D8=0,"",E8/D8)</x:f>
        <x:v>0.4594594594594595</x:v>
      </x:c>
      <x:c r="H8" s="24" t="n">
        <x:f>IF(D8=0,"",SUMIFS('Legacy Audit'!$O$5:$O$453,'Legacy Audit'!$L$5:$L$453,"&gt;=0.3",'Legacy Audit'!$L$5:$L$453,"&lt;0.4")/D8)</x:f>
        <x:v>0.2484567567567567</x:v>
      </x:c>
      <x:c r="J8" t="str">
        <x:f>A8</x:f>
        <x:v>30-39%</x:v>
      </x:c>
      <x:c r="K8" t="n">
        <x:f>F8</x:f>
        <x:v>0.3651351351351352</x:v>
      </x:c>
      <x:c r="L8" t="n">
        <x:f>G8</x:f>
        <x:v>0.4594594594594595</x:v>
      </x:c>
    </x:row>
    <x:row r="9">
      <x:c r="A9" s="9" t="str">
        <x:v>40-49%</x:v>
      </x:c>
      <x:c r="B9" s="34" t="n">
        <x:v>0.4</x:v>
      </x:c>
      <x:c r="C9" s="34" t="n">
        <x:v>0.5</x:v>
      </x:c>
      <x:c r="D9" s="9" t="n">
        <x:f>COUNTIFS('Legacy Audit'!$L$5:$L$453,"&gt;=0.4",'Legacy Audit'!$L$5:$L$453,"&lt;0.5",'Legacy Audit'!$M$5:$M$453,"W")+COUNTIFS('Legacy Audit'!$L$5:$L$453,"&gt;=0.4",'Legacy Audit'!$L$5:$L$453,"&lt;0.5",'Legacy Audit'!$M$5:$M$453,"L")</x:f>
        <x:v>118</x:v>
      </x:c>
      <x:c r="E9" s="9" t="n">
        <x:f>COUNTIFS('Legacy Audit'!$L$5:$L$453,"&gt;=0.4",'Legacy Audit'!$L$5:$L$453,"&lt;0.5",'Legacy Audit'!$M$5:$M$453,"W")</x:f>
        <x:v>48</x:v>
      </x:c>
      <x:c r="F9" s="23" t="n">
        <x:f>IF(D9=0,"",(SUMIFS('Legacy Audit'!$L$5:$L$453,'Legacy Audit'!$L$5:$L$453,"&gt;=0.4",'Legacy Audit'!$L$5:$L$453,"&lt;0.5",'Legacy Audit'!$M$5:$M$453,"W")+SUMIFS('Legacy Audit'!$L$5:$L$453,'Legacy Audit'!$L$5:$L$453,"&gt;=0.4",'Legacy Audit'!$L$5:$L$453,"&lt;0.5",'Legacy Audit'!$M$5:$M$453,"L"))/D9)</x:f>
        <x:v>0.4434745762711865</x:v>
      </x:c>
      <x:c r="G9" s="23" t="n">
        <x:f>IF(D9=0,"",E9/D9)</x:f>
        <x:v>0.4067796610169492</x:v>
      </x:c>
      <x:c r="H9" s="24" t="n">
        <x:f>IF(D9=0,"",SUMIFS('Legacy Audit'!$O$5:$O$453,'Legacy Audit'!$L$5:$L$453,"&gt;=0.4",'Legacy Audit'!$L$5:$L$453,"&lt;0.5")/D9)</x:f>
        <x:v>0.24300593220338984</x:v>
      </x:c>
      <x:c r="J9" t="str">
        <x:f>A9</x:f>
        <x:v>40-49%</x:v>
      </x:c>
      <x:c r="K9" t="n">
        <x:f>F9</x:f>
        <x:v>0.4434745762711865</x:v>
      </x:c>
      <x:c r="L9" t="n">
        <x:f>G9</x:f>
        <x:v>0.4067796610169492</x:v>
      </x:c>
    </x:row>
    <x:row r="10">
      <x:c r="A10" s="9" t="str">
        <x:v>50-59%</x:v>
      </x:c>
      <x:c r="B10" s="34" t="n">
        <x:v>0.5</x:v>
      </x:c>
      <x:c r="C10" s="34" t="n">
        <x:v>0.6</x:v>
      </x:c>
      <x:c r="D10" s="9" t="n">
        <x:f>COUNTIFS('Legacy Audit'!$L$5:$L$453,"&gt;=0.5",'Legacy Audit'!$L$5:$L$453,"&lt;0.6",'Legacy Audit'!$M$5:$M$453,"W")+COUNTIFS('Legacy Audit'!$L$5:$L$453,"&gt;=0.5",'Legacy Audit'!$L$5:$L$453,"&lt;0.6",'Legacy Audit'!$M$5:$M$453,"L")</x:f>
        <x:v>149</x:v>
      </x:c>
      <x:c r="E10" s="9" t="n">
        <x:f>COUNTIFS('Legacy Audit'!$L$5:$L$453,"&gt;=0.5",'Legacy Audit'!$L$5:$L$453,"&lt;0.6",'Legacy Audit'!$M$5:$M$453,"W")</x:f>
        <x:v>88</x:v>
      </x:c>
      <x:c r="F10" s="23" t="n">
        <x:f>IF(D10=0,"",(SUMIFS('Legacy Audit'!$L$5:$L$453,'Legacy Audit'!$L$5:$L$453,"&gt;=0.5",'Legacy Audit'!$L$5:$L$453,"&lt;0.6",'Legacy Audit'!$M$5:$M$453,"W")+SUMIFS('Legacy Audit'!$L$5:$L$453,'Legacy Audit'!$L$5:$L$453,"&gt;=0.5",'Legacy Audit'!$L$5:$L$453,"&lt;0.6",'Legacy Audit'!$M$5:$M$453,"L"))/D10)</x:f>
        <x:v>0.5540939597315435</x:v>
      </x:c>
      <x:c r="G10" s="23" t="n">
        <x:f>IF(D10=0,"",E10/D10)</x:f>
        <x:v>0.5906040268456376</x:v>
      </x:c>
      <x:c r="H10" s="24" t="n">
        <x:f>IF(D10=0,"",SUMIFS('Legacy Audit'!$O$5:$O$453,'Legacy Audit'!$L$5:$L$453,"&gt;=0.5",'Legacy Audit'!$L$5:$L$453,"&lt;0.6")/D10)</x:f>
        <x:v>0.24263758389261744</x:v>
      </x:c>
      <x:c r="J10" t="str">
        <x:f>A10</x:f>
        <x:v>50-59%</x:v>
      </x:c>
      <x:c r="K10" t="n">
        <x:f>F10</x:f>
        <x:v>0.5540939597315435</x:v>
      </x:c>
      <x:c r="L10" t="n">
        <x:f>G10</x:f>
        <x:v>0.5906040268456376</x:v>
      </x:c>
    </x:row>
    <x:row r="11">
      <x:c r="A11" s="9" t="str">
        <x:v>60-69%</x:v>
      </x:c>
      <x:c r="B11" s="34" t="n">
        <x:v>0.6</x:v>
      </x:c>
      <x:c r="C11" s="34" t="n">
        <x:v>0.7</x:v>
      </x:c>
      <x:c r="D11" s="9" t="n">
        <x:f>COUNTIFS('Legacy Audit'!$L$5:$L$453,"&gt;=0.6",'Legacy Audit'!$L$5:$L$453,"&lt;0.7",'Legacy Audit'!$M$5:$M$453,"W")+COUNTIFS('Legacy Audit'!$L$5:$L$453,"&gt;=0.6",'Legacy Audit'!$L$5:$L$453,"&lt;0.7",'Legacy Audit'!$M$5:$M$453,"L")</x:f>
        <x:v>73</x:v>
      </x:c>
      <x:c r="E11" s="9" t="n">
        <x:f>COUNTIFS('Legacy Audit'!$L$5:$L$453,"&gt;=0.6",'Legacy Audit'!$L$5:$L$453,"&lt;0.7",'Legacy Audit'!$M$5:$M$453,"W")</x:f>
        <x:v>46</x:v>
      </x:c>
      <x:c r="F11" s="23" t="n">
        <x:f>IF(D11=0,"",(SUMIFS('Legacy Audit'!$L$5:$L$453,'Legacy Audit'!$L$5:$L$453,"&gt;=0.6",'Legacy Audit'!$L$5:$L$453,"&lt;0.7",'Legacy Audit'!$M$5:$M$453,"W")+SUMIFS('Legacy Audit'!$L$5:$L$453,'Legacy Audit'!$L$5:$L$453,"&gt;=0.6",'Legacy Audit'!$L$5:$L$453,"&lt;0.7",'Legacy Audit'!$M$5:$M$453,"L"))/D11)</x:f>
        <x:v>0.6379452054794521</x:v>
      </x:c>
      <x:c r="G11" s="23" t="n">
        <x:f>IF(D11=0,"",E11/D11)</x:f>
        <x:v>0.6301369863013698</x:v>
      </x:c>
      <x:c r="H11" s="24" t="n">
        <x:f>IF(D11=0,"",SUMIFS('Legacy Audit'!$O$5:$O$453,'Legacy Audit'!$L$5:$L$453,"&gt;=0.6",'Legacy Audit'!$L$5:$L$453,"&lt;0.7")/D11)</x:f>
        <x:v>0.22763424657534242</x:v>
      </x:c>
      <x:c r="J11" t="str">
        <x:f>A11</x:f>
        <x:v>60-69%</x:v>
      </x:c>
      <x:c r="K11" t="n">
        <x:f>F11</x:f>
        <x:v>0.6379452054794521</x:v>
      </x:c>
      <x:c r="L11" t="n">
        <x:f>G11</x:f>
        <x:v>0.6301369863013698</x:v>
      </x:c>
    </x:row>
    <x:row r="12">
      <x:c r="A12" s="9" t="str">
        <x:v>70-79%</x:v>
      </x:c>
      <x:c r="B12" s="34" t="n">
        <x:v>0.7</x:v>
      </x:c>
      <x:c r="C12" s="34" t="n">
        <x:v>0.8</x:v>
      </x:c>
      <x:c r="D12" s="9" t="n">
        <x:f>COUNTIFS('Legacy Audit'!$L$5:$L$453,"&gt;=0.7",'Legacy Audit'!$L$5:$L$453,"&lt;0.8",'Legacy Audit'!$M$5:$M$453,"W")+COUNTIFS('Legacy Audit'!$L$5:$L$453,"&gt;=0.7",'Legacy Audit'!$L$5:$L$453,"&lt;0.8",'Legacy Audit'!$M$5:$M$453,"L")</x:f>
        <x:v>33</x:v>
      </x:c>
      <x:c r="E12" s="9" t="n">
        <x:f>COUNTIFS('Legacy Audit'!$L$5:$L$453,"&gt;=0.7",'Legacy Audit'!$L$5:$L$453,"&lt;0.8",'Legacy Audit'!$M$5:$M$453,"W")</x:f>
        <x:v>30</x:v>
      </x:c>
      <x:c r="F12" s="23" t="n">
        <x:f>IF(D12=0,"",(SUMIFS('Legacy Audit'!$L$5:$L$453,'Legacy Audit'!$L$5:$L$453,"&gt;=0.7",'Legacy Audit'!$L$5:$L$453,"&lt;0.8",'Legacy Audit'!$M$5:$M$453,"W")+SUMIFS('Legacy Audit'!$L$5:$L$453,'Legacy Audit'!$L$5:$L$453,"&gt;=0.7",'Legacy Audit'!$L$5:$L$453,"&lt;0.8",'Legacy Audit'!$M$5:$M$453,"L"))/D12)</x:f>
        <x:v>0.7463636363636362</x:v>
      </x:c>
      <x:c r="G12" s="23" t="n">
        <x:f>IF(D12=0,"",E12/D12)</x:f>
        <x:v>0.9090909090909091</x:v>
      </x:c>
      <x:c r="H12" s="24" t="n">
        <x:f>IF(D12=0,"",SUMIFS('Legacy Audit'!$O$5:$O$453,'Legacy Audit'!$L$5:$L$453,"&gt;=0.7",'Legacy Audit'!$L$5:$L$453,"&lt;0.8")/D12)</x:f>
        <x:v>0.11363939393939393</x:v>
      </x:c>
      <x:c r="J12" t="str">
        <x:f>A12</x:f>
        <x:v>70-79%</x:v>
      </x:c>
      <x:c r="K12" t="n">
        <x:f>F12</x:f>
        <x:v>0.7463636363636362</x:v>
      </x:c>
      <x:c r="L12" t="n">
        <x:f>G12</x:f>
        <x:v>0.9090909090909091</x:v>
      </x:c>
    </x:row>
    <x:row r="13">
      <x:c r="A13" s="9" t="str">
        <x:v>80-89%</x:v>
      </x:c>
      <x:c r="B13" s="34" t="n">
        <x:v>0.8</x:v>
      </x:c>
      <x:c r="C13" s="34" t="n">
        <x:v>0.9</x:v>
      </x:c>
      <x:c r="D13" s="9" t="n">
        <x:f>COUNTIFS('Legacy Audit'!$L$5:$L$453,"&gt;=0.8",'Legacy Audit'!$L$5:$L$453,"&lt;0.9",'Legacy Audit'!$M$5:$M$453,"W")+COUNTIFS('Legacy Audit'!$L$5:$L$453,"&gt;=0.8",'Legacy Audit'!$L$5:$L$453,"&lt;0.9",'Legacy Audit'!$M$5:$M$453,"L")</x:f>
        <x:v>22</x:v>
      </x:c>
      <x:c r="E13" s="9" t="n">
        <x:f>COUNTIFS('Legacy Audit'!$L$5:$L$453,"&gt;=0.8",'Legacy Audit'!$L$5:$L$453,"&lt;0.9",'Legacy Audit'!$M$5:$M$453,"W")</x:f>
        <x:v>21</x:v>
      </x:c>
      <x:c r="F13" s="23" t="n">
        <x:f>IF(D13=0,"",(SUMIFS('Legacy Audit'!$L$5:$L$453,'Legacy Audit'!$L$5:$L$453,"&gt;=0.8",'Legacy Audit'!$L$5:$L$453,"&lt;0.9",'Legacy Audit'!$M$5:$M$453,"W")+SUMIFS('Legacy Audit'!$L$5:$L$453,'Legacy Audit'!$L$5:$L$453,"&gt;=0.8",'Legacy Audit'!$L$5:$L$453,"&lt;0.9",'Legacy Audit'!$M$5:$M$453,"L"))/D13)</x:f>
        <x:v>0.8245454545454546</x:v>
      </x:c>
      <x:c r="G13" s="23" t="n">
        <x:f>IF(D13=0,"",E13/D13)</x:f>
        <x:v>0.9545454545454546</x:v>
      </x:c>
      <x:c r="H13" s="24" t="n">
        <x:f>IF(D13=0,"",SUMIFS('Legacy Audit'!$O$5:$O$453,'Legacy Audit'!$L$5:$L$453,"&gt;=0.8",'Legacy Audit'!$L$5:$L$453,"&lt;0.9")/D13)</x:f>
        <x:v>0.061954545454545464</x:v>
      </x:c>
      <x:c r="J13" t="str">
        <x:f>A13</x:f>
        <x:v>80-89%</x:v>
      </x:c>
      <x:c r="K13" t="n">
        <x:f>F13</x:f>
        <x:v>0.8245454545454546</x:v>
      </x:c>
      <x:c r="L13" t="n">
        <x:f>G13</x:f>
        <x:v>0.9545454545454546</x:v>
      </x:c>
    </x:row>
    <x:row r="14">
      <x:c r="A14" s="9" t="str">
        <x:v>90-99%</x:v>
      </x:c>
      <x:c r="B14" s="34" t="n">
        <x:v>0.9</x:v>
      </x:c>
      <x:c r="C14" s="34" t="n">
        <x:v>1</x:v>
      </x:c>
      <x:c r="D14" s="9" t="n">
        <x:f>COUNTIFS('Legacy Audit'!$L$5:$L$453,"&gt;=0.9",'Legacy Audit'!$L$5:$L$453,"&lt;=1",'Legacy Audit'!$M$5:$M$453,"W")+COUNTIFS('Legacy Audit'!$L$5:$L$453,"&gt;=0.9",'Legacy Audit'!$L$5:$L$453,"&lt;=1",'Legacy Audit'!$M$5:$M$453,"L")</x:f>
        <x:v>1</x:v>
      </x:c>
      <x:c r="E14" s="9" t="n">
        <x:f>COUNTIFS('Legacy Audit'!$L$5:$L$453,"&gt;=0.9",'Legacy Audit'!$L$5:$L$453,"&lt;=1",'Legacy Audit'!$M$5:$M$453,"W")</x:f>
        <x:v>1</x:v>
      </x:c>
      <x:c r="F14" s="23" t="n">
        <x:f>IF(D14=0,"",(SUMIFS('Legacy Audit'!$L$5:$L$453,'Legacy Audit'!$L$5:$L$453,"&gt;=0.9",'Legacy Audit'!$L$5:$L$453,"&lt;=1",'Legacy Audit'!$M$5:$M$453,"W")+SUMIFS('Legacy Audit'!$L$5:$L$453,'Legacy Audit'!$L$5:$L$453,"&gt;=0.9",'Legacy Audit'!$L$5:$L$453,"&lt;=1",'Legacy Audit'!$M$5:$M$453,"L"))/D14)</x:f>
        <x:v>0.9</x:v>
      </x:c>
      <x:c r="G14" s="23" t="n">
        <x:f>IF(D14=0,"",E14/D14)</x:f>
        <x:v>1</x:v>
      </x:c>
      <x:c r="H14" s="24" t="n">
        <x:f>IF(D14=0,"",SUMIFS('Legacy Audit'!$O$5:$O$453,'Legacy Audit'!$L$5:$L$453,"&gt;=0.9",'Legacy Audit'!$L$5:$L$453,"&lt;=1")/D14)</x:f>
        <x:v>0.009999999999999995</x:v>
      </x:c>
      <x:c r="J14" t="str">
        <x:f>A14</x:f>
        <x:v>90-99%</x:v>
      </x:c>
      <x:c r="K14" t="n">
        <x:f>F14</x:f>
        <x:v>0.9</x:v>
      </x:c>
      <x:c r="L14" t="n">
        <x:f>G14</x:f>
        <x:v>1</x:v>
      </x:c>
    </x:row>
    <x:row r="17">
      <x:c r="A17" s="37" t="str">
        <x:v>Warning: apparent Brier/log loss cannot be accepted as prospective calibration because publication timestamps, model versions and immutable source snapshots are missing.</x:v>
      </x:c>
      <x:c r="B17" s="37"/>
      <x:c r="C17" s="37"/>
      <x:c r="D17" s="37"/>
      <x:c r="E17" s="37"/>
      <x:c r="F17" s="37"/>
      <x:c r="G17" s="37"/>
      <x:c r="H17" s="37"/>
    </x:row>
    <x:row r="18">
      <x:c r="A18" s="37" t="str">
        <x:v>Use CORP/reliability analysis with event-clustered uncertainty only after an eligible locked forward sample exists.</x:v>
      </x:c>
      <x:c r="B18" s="37"/>
      <x:c r="C18" s="37"/>
      <x:c r="D18" s="37"/>
      <x:c r="E18" s="37"/>
      <x:c r="F18" s="37"/>
      <x:c r="G18" s="37"/>
      <x:c r="H18" s="37"/>
    </x:row>
  </x:sheetData>
  <x:mergeCells>
    <x:mergeCell ref="A1:R1"/>
    <x:mergeCell ref="A2:R2"/>
    <x:mergeCell ref="A17:H17"/>
    <x:mergeCell ref="A18:H18"/>
  </x:mergeCells>
  <x:pageMargins left="0.7" right="0.7" top="0.75" bottom="0.75" header="0.3" footer="0.3"/>
  <x:drawing xmlns:r="http://schemas.openxmlformats.org/officeDocument/2006/relationships" r:id="Re0e8bce07e23422c"/>
  <x:tableParts count="1">
    <x:tablePart xmlns:r="http://schemas.openxmlformats.org/officeDocument/2006/relationships" r:id="R46f4172ed61e48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45" hidden="0" customWidth="1"/>
    <x:col min="4" max="4" width="38" hidden="0" customWidth="1"/>
    <x:col min="5" max="5" width="45" hidden="0" customWidth="1"/>
    <x:col min="6" max="6" width="22" hidden="0" customWidth="1"/>
  </x:cols>
  <x:sheetData>
    <x:row r="1" ht="30" customHeight="1">
      <x:c r="A1" s="3" t="str">
        <x:v>Issue Register and Corrective Controls</x:v>
      </x:c>
      <x:c r="B1" s="3"/>
      <x:c r="C1" s="3"/>
      <x:c r="D1" s="3"/>
      <x:c r="E1" s="3"/>
      <x:c r="F1" s="3"/>
    </x:row>
    <x:row r="2" ht="34" customHeight="1">
      <x:c r="A2" s="7" t="str">
        <x:v>Severity reflects whether the defect invalidates performance claims or can directly contaminate a forecast.</x:v>
      </x:c>
      <x:c r="B2" s="7"/>
      <x:c r="C2" s="7"/>
      <x:c r="D2" s="7"/>
      <x:c r="E2" s="7"/>
      <x:c r="F2" s="7"/>
    </x:row>
    <x:row r="4">
      <x:c r="A4" s="22" t="str">
        <x:v>Severity</x:v>
      </x:c>
      <x:c r="B4" s="22" t="str">
        <x:v>Issue</x:v>
      </x:c>
      <x:c r="C4" s="22" t="str">
        <x:v>Evidence</x:v>
      </x:c>
      <x:c r="D4" s="22" t="str">
        <x:v>Impact</x:v>
      </x:c>
      <x:c r="E4" s="22" t="str">
        <x:v>Corrective control</x:v>
      </x:c>
      <x:c r="F4" s="22" t="str">
        <x:v>Status</x:v>
      </x:c>
    </x:row>
    <x:row r="5">
      <x:c r="A5" s="10" t="str">
        <x:v>S0</x:v>
      </x:c>
      <x:c r="B5" s="10" t="str">
        <x:v>No immutable publication lock</x:v>
      </x:c>
      <x:c r="C5" s="10" t="str">
        <x:v>No cutoff/model/data/source hashes in legacy ledger</x:v>
      </x:c>
      <x:c r="D5" s="10" t="str">
        <x:v>Cannot prove outcome-blind probabilities</x:v>
      </x:c>
      <x:c r="E5" s="10" t="str">
        <x:v>New snapshot/source-packet schema; legacy excluded</x:v>
      </x:c>
      <x:c r="F5" s="10" t="str">
        <x:v>IMPLEMENTED IN SPEC</x:v>
      </x:c>
    </x:row>
    <x:row r="6">
      <x:c r="A6" s="10" t="str">
        <x:v>S0</x:v>
      </x:c>
      <x:c r="B6" s="10" t="str">
        <x:v>Complementary picks counted separately</x:v>
      </x:c>
      <x:c r="C6" s="10" t="str">
        <x:v>150 exact pairs / 300 of 437 CSV rows; 37 four-pick cards are two pairs</x:v>
      </x:c>
      <x:c r="D6" s="10" t="str">
        <x:v>Mechanical 2-2 cards distort hit rate</x:v>
      </x:c>
      <x:c r="E6" s="10" t="str">
        <x:v>One decision per market; full branches stay candidates</x:v>
      </x:c>
      <x:c r="F6" s="10" t="str">
        <x:v>IMPLEMENTED IN SPEC</x:v>
      </x:c>
    </x:row>
    <x:row r="7">
      <x:c r="A7" s="10" t="str">
        <x:v>S0</x:v>
      </x:c>
      <x:c r="B7" s="10" t="str">
        <x:v>No active validated models</x:v>
      </x:c>
      <x:c r="C7" s="10" t="str">
        <x:v>No model cards or untouched forward tests for any sport-market-state</x:v>
      </x:c>
      <x:c r="D7" s="10" t="str">
        <x:v>Numeric confidence was unsupported</x:v>
      </x:c>
      <x:c r="E7" s="10" t="str">
        <x:v>Coverage registry defaults to UNSUPPORTED; PASS gate</x:v>
      </x:c>
      <x:c r="F7" s="10" t="str">
        <x:v>SUSPENDED</x:v>
      </x:c>
    </x:row>
    <x:row r="8">
      <x:c r="A8" s="10" t="str">
        <x:v>S0</x:v>
      </x:c>
      <x:c r="B8" s="10" t="str">
        <x:v>Source-of-truth divergence</x:v>
      </x:c>
      <x:c r="C8" s="10" t="str">
        <x:v>CSV 437, XLSX 449, narrative log later</x:v>
      </x:c>
      <x:c r="D8" s="10" t="str">
        <x:v>Counts and statuses conflict</x:v>
      </x:c>
      <x:c r="E8" s="10" t="str">
        <x:v>Single append-only stores and generated reports</x:v>
      </x:c>
      <x:c r="F8" s="10" t="str">
        <x:v>REPLACED</x:v>
      </x:c>
    </x:row>
    <x:row r="9">
      <x:c r="A9" s="10" t="str">
        <x:v>S0</x:v>
      </x:c>
      <x:c r="B9" s="10" t="str">
        <x:v>No price/execution trail</x:v>
      </x:c>
      <x:c r="C9" s="10" t="str">
        <x:v>No operator, quote time, stake, payout or commission</x:v>
      </x:c>
      <x:c r="D9" s="10" t="str">
        <x:v>ROI, CLV and betting edge impossible</x:v>
      </x:c>
      <x:c r="E9" s="10" t="str">
        <x:v>Separate price snapshot and execution entities</x:v>
      </x:c>
      <x:c r="F9" s="10" t="str">
        <x:v>BLOCKED UNTIL DATA</x:v>
      </x:c>
    </x:row>
    <x:row r="10">
      <x:c r="A10" s="10" t="str">
        <x:v>S0</x:v>
      </x:c>
      <x:c r="B10" s="10" t="str">
        <x:v>Post-event field contamination</x:v>
      </x:c>
      <x:c r="C10" s="10" t="str">
        <x:v>At least 60 legacy frequency bases contain final/settlement language</x:v>
      </x:c>
      <x:c r="D10" s="10" t="str">
        <x:v>Leakage cannot be ruled out</x:v>
      </x:c>
      <x:c r="E10" s="10" t="str">
        <x:v>Known-at temporal joins and immutable source packet</x:v>
      </x:c>
      <x:c r="F10" s="10" t="str">
        <x:v>LEGACY QUARANTINE</x:v>
      </x:c>
    </x:row>
    <x:row r="11">
      <x:c r="A11" s="10" t="str">
        <x:v>S1</x:v>
      </x:c>
      <x:c r="B11" s="10" t="str">
        <x:v>Ranking inversion</x:v>
      </x:c>
      <x:c r="C11" s="10" t="str">
        <x:v>Latest XLSX rank 1: 69-34; rank 4: 46-52; recent rank 4: 10-3</x:v>
      </x:c>
      <x:c r="D11" s="10" t="str">
        <x:v>Old hierarchy did not separate outcomes</x:v>
      </x:c>
      <x:c r="E11" s="10" t="str">
        <x:v>Retire ranks; evaluate one declared decision</x:v>
      </x:c>
      <x:c r="F11" s="10" t="str">
        <x:v>RETIRED</x:v>
      </x:c>
    </x:row>
    <x:row r="12">
      <x:c r="A12" s="10" t="str">
        <x:v>S1</x:v>
      </x:c>
      <x:c r="B12" s="10" t="str">
        <x:v>Near-coin-flip largest market family</x:v>
      </x:c>
      <x:c r="C12" s="10" t="str">
        <x:v>Phase/innings totals 131-126 with two pushes</x:v>
      </x:c>
      <x:c r="D12" s="10" t="str">
        <x:v>No demonstrated directional edge</x:v>
      </x:c>
      <x:c r="E12" s="10" t="str">
        <x:v>No active model; sport/market validation required</x:v>
      </x:c>
      <x:c r="F12" s="10" t="str">
        <x:v>SUSPENDED</x:v>
      </x:c>
    </x:row>
    <x:row r="13">
      <x:c r="A13" s="10" t="str">
        <x:v>S1</x:v>
      </x:c>
      <x:c r="B13" s="10" t="str">
        <x:v>Penalty/exemption accounting</x:v>
      </x:c>
      <x:c r="C13" s="10" t="str">
        <x:v>Flags mix card and row semantics</x:v>
      </x:c>
      <x:c r="D13" s="10" t="str">
        <x:v>Bookkeeping not reproducible</x:v>
      </x:c>
      <x:c r="E13" s="10" t="str">
        <x:v>Proper scores and versioned evaluation only</x:v>
      </x:c>
      <x:c r="F13" s="10" t="str">
        <x:v>REMOVED</x:v>
      </x:c>
    </x:row>
    <x:row r="14">
      <x:c r="A14" s="10" t="str">
        <x:v>S1</x:v>
      </x:c>
      <x:c r="B14" s="10" t="str">
        <x:v>Manual probability buckets</x:v>
      </x:c>
      <x:c r="C14" s="10" t="str">
        <x:v>Ten XLSX/CSV mismatches found</x:v>
      </x:c>
      <x:c r="D14" s="10" t="str">
        <x:v>Calibration bins can be wrong</x:v>
      </x:c>
      <x:c r="E14" s="10" t="str">
        <x:v>Derive display buckets from numeric p</x:v>
      </x:c>
      <x:c r="F14" s="10" t="str">
        <x:v>CONTROL ADDED</x:v>
      </x:c>
    </x:row>
    <x:row r="15">
      <x:c r="A15" s="10" t="str">
        <x:v>S1</x:v>
      </x:c>
      <x:c r="B15" s="10" t="str">
        <x:v>Incomplete source citations</x:v>
      </x:c>
      <x:c r="C15" s="10" t="str">
        <x:v>Zero legacy settlement_source cells contain HTTP URLs</x:v>
      </x:c>
      <x:c r="D15" s="10" t="str">
        <x:v>Settlement cannot be reproduced efficiently</x:v>
      </x:c>
      <x:c r="E15" s="10" t="str">
        <x:v>Direct official URL required for non-pending settlement</x:v>
      </x:c>
      <x:c r="F15" s="10" t="str">
        <x:v>CONTROL ADDED</x:v>
      </x:c>
    </x:row>
    <x:row r="16">
      <x:c r="A16" s="10" t="str">
        <x:v>S1</x:v>
      </x:c>
      <x:c r="B16" s="10" t="str">
        <x:v>Fixed recency windows</x:v>
      </x:c>
      <x:c r="C16" s="10" t="str">
        <x:v>Universal L5/L10/L15/L20 encouraged overlap and selection bias</x:v>
      </x:c>
      <x:c r="D16" s="10" t="str">
        <x:v>Overfit and false completeness</x:v>
      </x:c>
      <x:c r="E16" s="10" t="str">
        <x:v>Predeclared features inside chronological validation</x:v>
      </x:c>
      <x:c r="F16" s="10" t="str">
        <x:v>REMOVED</x:v>
      </x:c>
    </x:row>
    <x:row r="17">
      <x:c r="A17" s="10" t="str">
        <x:v>S1</x:v>
      </x:c>
      <x:c r="B17" s="10" t="str">
        <x:v>Poisson misuse</x:v>
      </x:c>
      <x:c r="C17" s="10" t="str">
        <x:v>Assumed rates, independence and simulation repeatability overstated certainty</x:v>
      </x:c>
      <x:c r="D17" s="10" t="str">
        <x:v>Tail and dependence errors</x:v>
      </x:c>
      <x:c r="E17" s="10" t="str">
        <x:v>Distribution diagnostics, sensitivity, MCSE, convergence</x:v>
      </x:c>
      <x:c r="F17" s="10" t="str">
        <x:v>CONTROL ADDED</x:v>
      </x:c>
    </x:row>
    <x:row r="18">
      <x:c r="A18" s="10" t="str">
        <x:v>S1</x:v>
      </x:c>
      <x:c r="B18" s="10" t="str">
        <x:v>Current MLC under failure</x:v>
      </x:c>
      <x:c r="C18" s="10" t="str">
        <x:v>MI New York 266/9; powerplay 100 after precise provisional unders</x:v>
      </x:c>
      <x:c r="D18" s="10" t="str">
        <x:v>Recent pace/variance prior was badly wrong</x:v>
      </x:c>
      <x:c r="E18" s="10" t="str">
        <x:v>Provisional numeric watchlists prohibited without active model</x:v>
      </x:c>
      <x:c r="F18" s="10" t="str">
        <x:v>RECORDED / PARTIAL FINAL</x:v>
      </x:c>
    </x:row>
    <x:row r="19">
      <x:c r="A19" s="10" t="str">
        <x:v>S2</x:v>
      </x:c>
      <x:c r="B19" s="10" t="str">
        <x:v>Fragmented sport taxonomy</x:v>
      </x:c>
      <x:c r="C19" s="10" t="str">
        <x:v>Many raw labels for the same family</x:v>
      </x:c>
      <x:c r="D19" s="10" t="str">
        <x:v>Unsafe pooling and broken joins</x:v>
      </x:c>
      <x:c r="E19" s="10" t="str">
        <x:v>Controlled sport/competition/market vocabularies</x:v>
      </x:c>
      <x:c r="F19" s="10" t="str">
        <x:v>CONTROL ADDED</x:v>
      </x:c>
    </x:row>
    <x:row r="20">
      <x:c r="A20" s="10" t="str">
        <x:v>S2</x:v>
      </x:c>
      <x:c r="B20" s="10" t="str">
        <x:v>Unsupported sports implied covered</x:v>
      </x:c>
      <x:c r="C20" s="10" t="str">
        <x:v>No meaningful ledger sample for NFL/NHL/NRL/tennis/golf</x:v>
      </x:c>
      <x:c r="D20" s="10" t="str">
        <x:v>All-sport claims exceeded evidence</x:v>
      </x:c>
      <x:c r="E20" s="10" t="str">
        <x:v>Per-scope coverage registry and expiry</x:v>
      </x:c>
      <x:c r="F20" s="10" t="str">
        <x:v>CONTROL ADDED</x:v>
      </x:c>
    </x:row>
  </x:sheetData>
  <x:mergeCells>
    <x:mergeCell ref="A1:F1"/>
    <x:mergeCell ref="A2:F2"/>
  </x:mergeCells>
  <x:conditionalFormatting sqref="A5:A20">
    <x:cfRule type="containsText" dxfId="6" priority="1" operator="containsText" text="S0"/>
    <x:cfRule type="containsText" dxfId="7" priority="2" operator="containsText" text="S1"/>
  </x:conditionalFormatting>
  <x:pageMargins left="0.7" right="0.7" top="0.75" bottom="0.75" header="0.3" footer="0.3"/>
  <x:tableParts count="1">
    <x:tablePart xmlns:r="http://schemas.openxmlformats.org/officeDocument/2006/relationships" r:id="R7b89bf532e4043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20" hidden="0" customWidth="1"/>
    <x:col min="5" max="5" width="20" hidden="0" customWidth="1"/>
    <x:col min="6" max="6" width="28" hidden="0" customWidth="1"/>
    <x:col min="7" max="7" width="25" hidden="0" customWidth="1"/>
    <x:col min="8" max="8" width="22" hidden="0" customWidth="1"/>
    <x:col min="9" max="9" width="8" hidden="0" customWidth="1"/>
    <x:col min="10" max="10" width="45" hidden="0" customWidth="1"/>
    <x:col min="11" max="11" width="11" hidden="0" customWidth="1"/>
    <x:col min="12" max="12" width="11" hidden="0" customWidth="1"/>
    <x:col min="13" max="13" width="10" hidden="0" customWidth="1"/>
    <x:col min="14" max="14" width="10" hidden="0" customWidth="1"/>
    <x:col min="15" max="15" width="12" hidden="0" customWidth="1"/>
    <x:col min="16" max="16" width="14" hidden="0" customWidth="1"/>
    <x:col min="17" max="17" width="16" hidden="0" customWidth="1"/>
    <x:col min="18" max="18" width="14" hidden="0" customWidth="1"/>
    <x:col min="19" max="19" width="44" hidden="0" customWidth="1"/>
    <x:col min="20" max="20" width="13" hidden="0" customWidth="1"/>
    <x:col min="21" max="21" width="18" hidden="0" customWidth="1"/>
    <x:col min="22" max="22" width="12" hidden="0" customWidth="1"/>
    <x:col min="23" max="23" width="44" hidden="0" customWidth="1"/>
    <x:col min="24" max="24" width="38" hidden="0" customWidth="1"/>
  </x:cols>
  <x:sheetData>
    <x:row r="1" ht="30" customHeight="1">
      <x:c r="A1" s="3" t="str">
        <x:v>Legacy Ledger Migration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4" customHeight="1">
      <x:c r="A2" s="7" t="str">
        <x:v>449 non-template rows from the latest structured XLSX. All remain excluded from v3 evaluation because the original forecast lock cannot be proven.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>
      <x:c r="A4" s="22" t="str">
        <x:v>Legacy row</x:v>
      </x:c>
      <x:c r="B4" s="22" t="str">
        <x:v>Card ID</x:v>
      </x:c>
      <x:c r="C4" s="22" t="str">
        <x:v>Date</x:v>
      </x:c>
      <x:c r="D4" s="22" t="str">
        <x:v>Sport family</x:v>
      </x:c>
      <x:c r="E4" s="22" t="str">
        <x:v>Sport raw</x:v>
      </x:c>
      <x:c r="F4" s="22" t="str">
        <x:v>Match</x:v>
      </x:c>
      <x:c r="G4" s="22" t="str">
        <x:v>Competition</x:v>
      </x:c>
      <x:c r="H4" s="22" t="str">
        <x:v>Market group</x:v>
      </x:c>
      <x:c r="I4" s="22" t="str">
        <x:v>Rank</x:v>
      </x:c>
      <x:c r="J4" s="22" t="str">
        <x:v>Option</x:v>
      </x:c>
      <x:c r="K4" s="22" t="str">
        <x:v>Line</x:v>
      </x:c>
      <x:c r="L4" s="22" t="str">
        <x:v>Stated p</x:v>
      </x:c>
      <x:c r="M4" s="22" t="str">
        <x:v>Status</x:v>
      </x:c>
      <x:c r="N4" s="22" t="str">
        <x:v>Binary</x:v>
      </x:c>
      <x:c r="O4" s="22" t="str">
        <x:v>Brier</x:v>
      </x:c>
      <x:c r="P4" s="22" t="str">
        <x:v>Exact complement row</x:v>
      </x:c>
      <x:c r="Q4" s="22" t="str">
        <x:v>Probability bucket</x:v>
      </x:c>
      <x:c r="R4" s="22" t="str">
        <x:v>Bucket mismatch</x:v>
      </x:c>
      <x:c r="S4" s="22" t="str">
        <x:v>Settlement source</x:v>
      </x:c>
      <x:c r="T4" s="22" t="str">
        <x:v>Source has URL</x:v>
      </x:c>
      <x:c r="U4" s="22" t="str">
        <x:v>Potential post-event input</x:v>
      </x:c>
      <x:c r="V4" s="22" t="str">
        <x:v>Eligible v3</x:v>
      </x:c>
      <x:c r="W4" s="22" t="str">
        <x:v>Exclusion reason</x:v>
      </x:c>
      <x:c r="X4" s="22" t="str">
        <x:v>Audit note</x:v>
      </x:c>
    </x:row>
    <x:row r="5">
      <x:c r="A5" s="9" t="n">
        <x:v>1</x:v>
      </x:c>
      <x:c r="B5" s="9" t="str">
        <x:v>SOCCER-20260711-ESP-BEL-CORNERS8</x:v>
      </x:c>
      <x:c r="C5" s="25" t="str">
        <x:v>2026-07-11</x:v>
      </x:c>
      <x:c r="D5" s="9" t="str">
        <x:v>Soccer</x:v>
      </x:c>
      <x:c r="E5" s="9" t="str">
        <x:v>Soccer</x:v>
      </x:c>
      <x:c r="F5" s="10" t="str">
        <x:v>Spain vs Belgium</x:v>
      </x:c>
      <x:c r="G5" s="10" t="str">
        <x:v>FIFA World Cup 2026 quarter-final</x:v>
      </x:c>
      <x:c r="H5" s="10" t="str">
        <x:v>Match corners</x:v>
      </x:c>
      <x:c r="I5" s="9" t="n">
        <x:v>1</x:v>
      </x:c>
      <x:c r="J5" s="10" t="str">
        <x:v>Combined corners Over 8.0</x:v>
      </x:c>
      <x:c r="K5" s="9" t="str">
        <x:v>8.0</x:v>
      </x:c>
      <x:c r="L5" s="23" t="n">
        <x:v>0.47</x:v>
      </x:c>
      <x:c r="M5" s="9" t="str">
        <x:v>L</x:v>
      </x:c>
      <x:c r="N5" s="9" t="n">
        <x:f>IF(M5="W",1,IF(M5="L",0,""))</x:f>
        <x:v>0</x:v>
      </x:c>
      <x:c r="O5" s="24" t="n">
        <x:f>IF(OR(M5="W",M5="L"),(L5-N5)^2,"")</x:f>
        <x:v>0.22089999999999999</x:v>
      </x:c>
      <x:c r="P5" s="9" t="str">
        <x:v>NO</x:v>
      </x:c>
      <x:c r="Q5" s="9" t="str">
        <x:v>40-49</x:v>
      </x:c>
      <x:c r="R5" s="9" t="str">
        <x:v>NO</x:v>
      </x:c>
      <x:c r="S5" s="10" t="str">
        <x:v>ESPN FIFA World Cup summary API final checked 2026-07-11 AEST</x:v>
      </x:c>
      <x:c r="T5" s="10" t="str">
        <x:f>IF(IFERROR(ISNUMBER(SEARCH("http",S5)),FALSE),"YES","NO")</x:f>
        <x:v>NO</x:v>
      </x:c>
      <x:c r="U5" s="10" t="str">
        <x:v>NO</x:v>
      </x:c>
      <x:c r="V5" s="10" t="str">
        <x:v>NO</x:v>
      </x:c>
      <x:c r="W5" s="10" t="str">
        <x:v>LEGACY_UNVERIFIED_SNAPSHOT: no immutable cutoff/model/source packet</x:v>
      </x:c>
      <x:c r="X5" s="10" t="str">
        <x:v>projection_error</x:v>
      </x:c>
    </x:row>
    <x:row r="6">
      <x:c r="A6" s="9" t="n">
        <x:v>2</x:v>
      </x:c>
      <x:c r="B6" s="9" t="str">
        <x:v>SOCCER-20260711-ESP-BEL</x:v>
      </x:c>
      <x:c r="C6" s="25" t="str">
        <x:v>2026-07-11</x:v>
      </x:c>
      <x:c r="D6" s="9" t="str">
        <x:v>Soccer</x:v>
      </x:c>
      <x:c r="E6" s="9" t="str">
        <x:v>Soccer</x:v>
      </x:c>
      <x:c r="F6" s="10" t="str">
        <x:v>Spain vs Belgium</x:v>
      </x:c>
      <x:c r="G6" s="10" t="str">
        <x:v>FIFA World Cup 2026 quarter-final</x:v>
      </x:c>
      <x:c r="H6" s="10" t="str">
        <x:v>Self-selected team goals, corners and player SOT</x:v>
      </x:c>
      <x:c r="I6" s="9" t="n">
        <x:v>1</x:v>
      </x:c>
      <x:c r="J6" s="10" t="str">
        <x:v>Belgium team total Under 1.5 goals regulation</x:v>
      </x:c>
      <x:c r="K6" s="9" t="str">
        <x:v>1.5</x:v>
      </x:c>
      <x:c r="L6" s="23" t="n">
        <x:v>0.8</x:v>
      </x:c>
      <x:c r="M6" s="9" t="str">
        <x:v>W</x:v>
      </x:c>
      <x:c r="N6" s="9" t="n">
        <x:f>IF(M6="W",1,IF(M6="L",0,""))</x:f>
        <x:v>1</x:v>
      </x:c>
      <x:c r="O6" s="24" t="n">
        <x:f>IF(OR(M6="W",M6="L"),(L6-N6)^2,"")</x:f>
        <x:v>0.03999999999999998</x:v>
      </x:c>
      <x:c r="P6" s="9" t="str">
        <x:v>NO</x:v>
      </x:c>
      <x:c r="Q6" s="9" t="str">
        <x:v>80-89</x:v>
      </x:c>
      <x:c r="R6" s="9" t="str">
        <x:v>NO</x:v>
      </x:c>
      <x:c r="S6" s="10" t="str">
        <x:v>ESPN FIFA World Cup summary API final checked 2026-07-11 AEST</x:v>
      </x:c>
      <x:c r="T6" s="10" t="str">
        <x:f>IF(IFERROR(ISNUMBER(SEARCH("http",S6)),FALSE),"YES","NO")</x:f>
        <x:v>NO</x:v>
      </x:c>
      <x:c r="U6" s="10" t="str">
        <x:v>NO</x:v>
      </x:c>
      <x:c r="V6" s="10" t="str">
        <x:v>NO</x:v>
      </x:c>
      <x:c r="W6" s="10" t="str">
        <x:v>LEGACY_UNVERIFIED_SNAPSHOT: no immutable cutoff/model/source packet</x:v>
      </x:c>
      <x:c r="X6" s="10" t="str">
        <x:v>legacy schema only</x:v>
      </x:c>
    </x:row>
    <x:row r="7">
      <x:c r="A7" s="9" t="n">
        <x:v>3</x:v>
      </x:c>
      <x:c r="B7" s="9" t="str">
        <x:v>SOCCER-20260711-ESP-BEL</x:v>
      </x:c>
      <x:c r="C7" s="25" t="str">
        <x:v>2026-07-11</x:v>
      </x:c>
      <x:c r="D7" s="9" t="str">
        <x:v>Soccer</x:v>
      </x:c>
      <x:c r="E7" s="9" t="str">
        <x:v>Soccer</x:v>
      </x:c>
      <x:c r="F7" s="10" t="str">
        <x:v>Spain vs Belgium</x:v>
      </x:c>
      <x:c r="G7" s="10" t="str">
        <x:v>FIFA World Cup 2026 quarter-final</x:v>
      </x:c>
      <x:c r="H7" s="10" t="str">
        <x:v>Self-selected team goals, corners and player SOT</x:v>
      </x:c>
      <x:c r="I7" s="9" t="n">
        <x:v>2</x:v>
      </x:c>
      <x:c r="J7" s="10" t="str">
        <x:v>Spain team total Over 0.5 goals regulation</x:v>
      </x:c>
      <x:c r="K7" s="9" t="str">
        <x:v>0.5</x:v>
      </x:c>
      <x:c r="L7" s="23" t="n">
        <x:v>0.78</x:v>
      </x:c>
      <x:c r="M7" s="9" t="str">
        <x:v>W</x:v>
      </x:c>
      <x:c r="N7" s="9" t="n">
        <x:f>IF(M7="W",1,IF(M7="L",0,""))</x:f>
        <x:v>1</x:v>
      </x:c>
      <x:c r="O7" s="24" t="n">
        <x:f>IF(OR(M7="W",M7="L"),(L7-N7)^2,"")</x:f>
        <x:v>0.04839999999999999</x:v>
      </x:c>
      <x:c r="P7" s="9" t="str">
        <x:v>NO</x:v>
      </x:c>
      <x:c r="Q7" s="9" t="str">
        <x:v>70-79</x:v>
      </x:c>
      <x:c r="R7" s="9" t="str">
        <x:v>NO</x:v>
      </x:c>
      <x:c r="S7" s="10" t="str">
        <x:v>ESPN FIFA World Cup summary API final checked 2026-07-11 AEST</x:v>
      </x:c>
      <x:c r="T7" s="10" t="str">
        <x:f>IF(IFERROR(ISNUMBER(SEARCH("http",S7)),FALSE),"YES","NO")</x:f>
        <x:v>NO</x:v>
      </x:c>
      <x:c r="U7" s="10" t="str">
        <x:v>NO</x:v>
      </x:c>
      <x:c r="V7" s="10" t="str">
        <x:v>NO</x:v>
      </x:c>
      <x:c r="W7" s="10" t="str">
        <x:v>LEGACY_UNVERIFIED_SNAPSHOT: no immutable cutoff/model/source packet</x:v>
      </x:c>
      <x:c r="X7" s="10" t="str">
        <x:v>legacy schema only</x:v>
      </x:c>
    </x:row>
    <x:row r="8">
      <x:c r="A8" s="9" t="n">
        <x:v>4</x:v>
      </x:c>
      <x:c r="B8" s="9" t="str">
        <x:v>SOCCER-20260711-ESP-BEL</x:v>
      </x:c>
      <x:c r="C8" s="25" t="str">
        <x:v>2026-07-11</x:v>
      </x:c>
      <x:c r="D8" s="9" t="str">
        <x:v>Soccer</x:v>
      </x:c>
      <x:c r="E8" s="9" t="str">
        <x:v>Soccer</x:v>
      </x:c>
      <x:c r="F8" s="10" t="str">
        <x:v>Spain vs Belgium</x:v>
      </x:c>
      <x:c r="G8" s="10" t="str">
        <x:v>FIFA World Cup 2026 quarter-final</x:v>
      </x:c>
      <x:c r="H8" s="10" t="str">
        <x:v>Self-selected team goals, corners and player SOT</x:v>
      </x:c>
      <x:c r="I8" s="9" t="n">
        <x:v>3</x:v>
      </x:c>
      <x:c r="J8" s="10" t="str">
        <x:v>Spain team corners Over 3.5 regulation</x:v>
      </x:c>
      <x:c r="K8" s="9" t="str">
        <x:v>3.5</x:v>
      </x:c>
      <x:c r="L8" s="23" t="n">
        <x:v>0.76</x:v>
      </x:c>
      <x:c r="M8" s="9" t="str">
        <x:v>W</x:v>
      </x:c>
      <x:c r="N8" s="9" t="n">
        <x:f>IF(M8="W",1,IF(M8="L",0,""))</x:f>
        <x:v>1</x:v>
      </x:c>
      <x:c r="O8" s="24" t="n">
        <x:f>IF(OR(M8="W",M8="L"),(L8-N8)^2,"")</x:f>
        <x:v>0.0576</x:v>
      </x:c>
      <x:c r="P8" s="9" t="str">
        <x:v>NO</x:v>
      </x:c>
      <x:c r="Q8" s="9" t="str">
        <x:v>70-79</x:v>
      </x:c>
      <x:c r="R8" s="9" t="str">
        <x:v>NO</x:v>
      </x:c>
      <x:c r="S8" s="10" t="str">
        <x:v>ESPN FIFA World Cup summary API final checked 2026-07-11 AEST</x:v>
      </x:c>
      <x:c r="T8" s="10" t="str">
        <x:f>IF(IFERROR(ISNUMBER(SEARCH("http",S8)),FALSE),"YES","NO")</x:f>
        <x:v>NO</x:v>
      </x:c>
      <x:c r="U8" s="10" t="str">
        <x:v>NO</x:v>
      </x:c>
      <x:c r="V8" s="10" t="str">
        <x:v>NO</x:v>
      </x:c>
      <x:c r="W8" s="10" t="str">
        <x:v>LEGACY_UNVERIFIED_SNAPSHOT: no immutable cutoff/model/source packet</x:v>
      </x:c>
      <x:c r="X8" s="10" t="str">
        <x:v>legacy schema only</x:v>
      </x:c>
    </x:row>
    <x:row r="9">
      <x:c r="A9" s="9" t="n">
        <x:v>5</x:v>
      </x:c>
      <x:c r="B9" s="9" t="str">
        <x:v>SOCCER-20260711-ESP-BEL</x:v>
      </x:c>
      <x:c r="C9" s="25" t="str">
        <x:v>2026-07-11</x:v>
      </x:c>
      <x:c r="D9" s="9" t="str">
        <x:v>Soccer</x:v>
      </x:c>
      <x:c r="E9" s="9" t="str">
        <x:v>Soccer</x:v>
      </x:c>
      <x:c r="F9" s="10" t="str">
        <x:v>Spain vs Belgium</x:v>
      </x:c>
      <x:c r="G9" s="10" t="str">
        <x:v>FIFA World Cup 2026 quarter-final</x:v>
      </x:c>
      <x:c r="H9" s="10" t="str">
        <x:v>Self-selected team goals, corners and player SOT</x:v>
      </x:c>
      <x:c r="I9" s="9" t="n">
        <x:v>4</x:v>
      </x:c>
      <x:c r="J9" s="10" t="str">
        <x:v>Mikel Oyarzabal 1+ shot on target regulation</x:v>
      </x:c>
      <x:c r="K9" s="9" t="str">
        <x:v>1+</x:v>
      </x:c>
      <x:c r="L9" s="23" t="n">
        <x:v>0.72</x:v>
      </x:c>
      <x:c r="M9" s="9" t="str">
        <x:v>W</x:v>
      </x:c>
      <x:c r="N9" s="9" t="n">
        <x:f>IF(M9="W",1,IF(M9="L",0,""))</x:f>
        <x:v>1</x:v>
      </x:c>
      <x:c r="O9" s="24" t="n">
        <x:f>IF(OR(M9="W",M9="L"),(L9-N9)^2,"")</x:f>
        <x:v>0.07840000000000001</x:v>
      </x:c>
      <x:c r="P9" s="9" t="str">
        <x:v>NO</x:v>
      </x:c>
      <x:c r="Q9" s="9" t="str">
        <x:v>70-79</x:v>
      </x:c>
      <x:c r="R9" s="9" t="str">
        <x:v>NO</x:v>
      </x:c>
      <x:c r="S9" s="10" t="str">
        <x:v>ESPN FIFA World Cup summary API final checked 2026-07-11 AEST</x:v>
      </x:c>
      <x:c r="T9" s="10" t="str">
        <x:f>IF(IFERROR(ISNUMBER(SEARCH("http",S9)),FALSE),"YES","NO")</x:f>
        <x:v>NO</x:v>
      </x:c>
      <x:c r="U9" s="10" t="str">
        <x:v>NO</x:v>
      </x:c>
      <x:c r="V9" s="10" t="str">
        <x:v>NO</x:v>
      </x:c>
      <x:c r="W9" s="10" t="str">
        <x:v>LEGACY_UNVERIFIED_SNAPSHOT: no immutable cutoff/model/source packet</x:v>
      </x:c>
      <x:c r="X9" s="10" t="str">
        <x:v>legacy schema only</x:v>
      </x:c>
    </x:row>
    <x:row r="10">
      <x:c r="A10" s="9" t="n">
        <x:v>6</x:v>
      </x:c>
      <x:c r="B10" s="9" t="str">
        <x:v>AFL-20260710-COLL-NM-SETTLED</x:v>
      </x:c>
      <x:c r="C10" s="25" t="str">
        <x:v>2026-07-11</x:v>
      </x:c>
      <x:c r="D10" s="9" t="str">
        <x:v>Australian football</x:v>
      </x:c>
      <x:c r="E10" s="9" t="str">
        <x:v>AFL</x:v>
      </x:c>
      <x:c r="F10" s="10" t="str">
        <x:v>Collingwood vs North Melbourne</x:v>
      </x:c>
      <x:c r="G10" s="10" t="str">
        <x:v>AFL Round 18</x:v>
      </x:c>
      <x:c r="H10" s="10" t="str">
        <x:v>Pregame handicap/total settlement</x:v>
      </x:c>
      <x:c r="I10" s="9" t="n">
        <x:v>1</x:v>
      </x:c>
      <x:c r="J10" s="10" t="str">
        <x:v>Combined Total Under 173.5</x:v>
      </x:c>
      <x:c r="K10" s="9" t="str">
        <x:v>173.5</x:v>
      </x:c>
      <x:c r="L10" s="23" t="n">
        <x:v>0.58</x:v>
      </x:c>
      <x:c r="M10" s="9" t="str">
        <x:v>L</x:v>
      </x:c>
      <x:c r="N10" s="9" t="n">
        <x:f>IF(M10="W",1,IF(M10="L",0,""))</x:f>
        <x:v>0</x:v>
      </x:c>
      <x:c r="O10" s="24" t="n">
        <x:f>IF(OR(M10="W",M10="L"),(L10-N10)^2,"")</x:f>
        <x:v>0.3364</x:v>
      </x:c>
      <x:c r="P10" s="9" t="str">
        <x:v>YES</x:v>
      </x:c>
      <x:c r="Q10" s="9" t="str">
        <x:v>50-59</x:v>
      </x:c>
      <x:c r="R10" s="9" t="str">
        <x:v>NO</x:v>
      </x:c>
      <x:c r="S10" s="10" t="str">
        <x:v>ESPN AFL summary API final checked 2026-07-11 AEST</x:v>
      </x:c>
      <x:c r="T10" s="10" t="str">
        <x:f>IF(IFERROR(ISNUMBER(SEARCH("http",S10)),FALSE),"YES","NO")</x:f>
        <x:v>NO</x:v>
      </x:c>
      <x:c r="U10" s="10" t="str">
        <x:v>NO</x:v>
      </x:c>
      <x:c r="V10" s="10" t="str">
        <x:v>NO</x:v>
      </x:c>
      <x:c r="W10" s="10" t="str">
        <x:v>LEGACY_UNVERIFIED_SNAPSHOT: no immutable cutoff/model/source packet</x:v>
      </x:c>
      <x:c r="X10" s="10" t="str">
        <x:v>projection_error; rank_error; exact_complement_selection</x:v>
      </x:c>
    </x:row>
    <x:row r="11">
      <x:c r="A11" s="9" t="n">
        <x:v>7</x:v>
      </x:c>
      <x:c r="B11" s="9" t="str">
        <x:v>AFL-20260710-COLL-NM-SETTLED</x:v>
      </x:c>
      <x:c r="C11" s="25" t="str">
        <x:v>2026-07-11</x:v>
      </x:c>
      <x:c r="D11" s="9" t="str">
        <x:v>Australian football</x:v>
      </x:c>
      <x:c r="E11" s="9" t="str">
        <x:v>AFL</x:v>
      </x:c>
      <x:c r="F11" s="10" t="str">
        <x:v>Collingwood vs North Melbourne</x:v>
      </x:c>
      <x:c r="G11" s="10" t="str">
        <x:v>AFL Round 18</x:v>
      </x:c>
      <x:c r="H11" s="10" t="str">
        <x:v>Pregame handicap/total settlement</x:v>
      </x:c>
      <x:c r="I11" s="9" t="n">
        <x:v>2</x:v>
      </x:c>
      <x:c r="J11" s="10" t="str">
        <x:v>Collingwood -16.5</x:v>
      </x:c>
      <x:c r="K11" s="9" t="str">
        <x:v>-16.5</x:v>
      </x:c>
      <x:c r="L11" s="23" t="n">
        <x:v>0.54</x:v>
      </x:c>
      <x:c r="M11" s="9" t="str">
        <x:v>L</x:v>
      </x:c>
      <x:c r="N11" s="9" t="n">
        <x:f>IF(M11="W",1,IF(M11="L",0,""))</x:f>
        <x:v>0</x:v>
      </x:c>
      <x:c r="O11" s="24" t="n">
        <x:f>IF(OR(M11="W",M11="L"),(L11-N11)^2,"")</x:f>
        <x:v>0.2916</x:v>
      </x:c>
      <x:c r="P11" s="9" t="str">
        <x:v>YES</x:v>
      </x:c>
      <x:c r="Q11" s="9" t="str">
        <x:v>50-59</x:v>
      </x:c>
      <x:c r="R11" s="9" t="str">
        <x:v>NO</x:v>
      </x:c>
      <x:c r="S11" s="10" t="str">
        <x:v>ESPN AFL summary API final checked 2026-07-11 AEST</x:v>
      </x:c>
      <x:c r="T11" s="10" t="str">
        <x:f>IF(IFERROR(ISNUMBER(SEARCH("http",S11)),FALSE),"YES","NO")</x:f>
        <x:v>NO</x:v>
      </x:c>
      <x:c r="U11" s="10" t="str">
        <x:v>NO</x:v>
      </x:c>
      <x:c r="V11" s="10" t="str">
        <x:v>NO</x:v>
      </x:c>
      <x:c r="W11" s="10" t="str">
        <x:v>LEGACY_UNVERIFIED_SNAPSHOT: no immutable cutoff/model/source packet</x:v>
      </x:c>
      <x:c r="X11" s="10" t="str">
        <x:v>projection_error; rank_error; exact_complement_selection</x:v>
      </x:c>
    </x:row>
    <x:row r="12">
      <x:c r="A12" s="9" t="n">
        <x:v>8</x:v>
      </x:c>
      <x:c r="B12" s="9" t="str">
        <x:v>AFL-20260710-COLL-NM-SETTLED</x:v>
      </x:c>
      <x:c r="C12" s="25" t="str">
        <x:v>2026-07-11</x:v>
      </x:c>
      <x:c r="D12" s="9" t="str">
        <x:v>Australian football</x:v>
      </x:c>
      <x:c r="E12" s="9" t="str">
        <x:v>AFL</x:v>
      </x:c>
      <x:c r="F12" s="10" t="str">
        <x:v>Collingwood vs North Melbourne</x:v>
      </x:c>
      <x:c r="G12" s="10" t="str">
        <x:v>AFL Round 18</x:v>
      </x:c>
      <x:c r="H12" s="10" t="str">
        <x:v>Pregame handicap/total settlement</x:v>
      </x:c>
      <x:c r="I12" s="9" t="n">
        <x:v>3</x:v>
      </x:c>
      <x:c r="J12" s="10" t="str">
        <x:v>North Melbourne +16.5</x:v>
      </x:c>
      <x:c r="K12" s="9" t="str">
        <x:v>+16.5</x:v>
      </x:c>
      <x:c r="L12" s="23" t="n">
        <x:v>0.46</x:v>
      </x:c>
      <x:c r="M12" s="9" t="str">
        <x:v>W</x:v>
      </x:c>
      <x:c r="N12" s="9" t="n">
        <x:f>IF(M12="W",1,IF(M12="L",0,""))</x:f>
        <x:v>1</x:v>
      </x:c>
      <x:c r="O12" s="24" t="n">
        <x:f>IF(OR(M12="W",M12="L"),(L12-N12)^2,"")</x:f>
        <x:v>0.2916</x:v>
      </x:c>
      <x:c r="P12" s="9" t="str">
        <x:v>YES</x:v>
      </x:c>
      <x:c r="Q12" s="9" t="str">
        <x:v>40-49</x:v>
      </x:c>
      <x:c r="R12" s="9" t="str">
        <x:v>NO</x:v>
      </x:c>
      <x:c r="S12" s="10" t="str">
        <x:v>ESPN AFL summary API final checked 2026-07-11 AEST</x:v>
      </x:c>
      <x:c r="T12" s="10" t="str">
        <x:f>IF(IFERROR(ISNUMBER(SEARCH("http",S12)),FALSE),"YES","NO")</x:f>
        <x:v>NO</x:v>
      </x:c>
      <x:c r="U12" s="10" t="str">
        <x:v>NO</x:v>
      </x:c>
      <x:c r="V12" s="10" t="str">
        <x:v>NO</x:v>
      </x:c>
      <x:c r="W12" s="10" t="str">
        <x:v>LEGACY_UNVERIFIED_SNAPSHOT: no immutable cutoff/model/source packet</x:v>
      </x:c>
      <x:c r="X12" s="10" t="str">
        <x:v>projection_error; exact_complement_selection</x:v>
      </x:c>
    </x:row>
    <x:row r="13">
      <x:c r="A13" s="9" t="n">
        <x:v>9</x:v>
      </x:c>
      <x:c r="B13" s="9" t="str">
        <x:v>AFL-20260710-COLL-NM-SETTLED</x:v>
      </x:c>
      <x:c r="C13" s="25" t="str">
        <x:v>2026-07-11</x:v>
      </x:c>
      <x:c r="D13" s="9" t="str">
        <x:v>Australian football</x:v>
      </x:c>
      <x:c r="E13" s="9" t="str">
        <x:v>AFL</x:v>
      </x:c>
      <x:c r="F13" s="10" t="str">
        <x:v>Collingwood vs North Melbourne</x:v>
      </x:c>
      <x:c r="G13" s="10" t="str">
        <x:v>AFL Round 18</x:v>
      </x:c>
      <x:c r="H13" s="10" t="str">
        <x:v>Pregame handicap/total settlement</x:v>
      </x:c>
      <x:c r="I13" s="9" t="n">
        <x:v>4</x:v>
      </x:c>
      <x:c r="J13" s="10" t="str">
        <x:v>Combined Total Over 173.5</x:v>
      </x:c>
      <x:c r="K13" s="9" t="str">
        <x:v>173.5</x:v>
      </x:c>
      <x:c r="L13" s="23" t="n">
        <x:v>0.42</x:v>
      </x:c>
      <x:c r="M13" s="9" t="str">
        <x:v>W</x:v>
      </x:c>
      <x:c r="N13" s="9" t="n">
        <x:f>IF(M13="W",1,IF(M13="L",0,""))</x:f>
        <x:v>1</x:v>
      </x:c>
      <x:c r="O13" s="24" t="n">
        <x:f>IF(OR(M13="W",M13="L"),(L13-N13)^2,"")</x:f>
        <x:v>0.3364000000000001</x:v>
      </x:c>
      <x:c r="P13" s="9" t="str">
        <x:v>YES</x:v>
      </x:c>
      <x:c r="Q13" s="9" t="str">
        <x:v>40-49</x:v>
      </x:c>
      <x:c r="R13" s="9" t="str">
        <x:v>NO</x:v>
      </x:c>
      <x:c r="S13" s="10" t="str">
        <x:v>ESPN AFL summary API final checked 2026-07-11 AEST</x:v>
      </x:c>
      <x:c r="T13" s="10" t="str">
        <x:f>IF(IFERROR(ISNUMBER(SEARCH("http",S13)),FALSE),"YES","NO")</x:f>
        <x:v>NO</x:v>
      </x:c>
      <x:c r="U13" s="10" t="str">
        <x:v>NO</x:v>
      </x:c>
      <x:c r="V13" s="10" t="str">
        <x:v>NO</x:v>
      </x:c>
      <x:c r="W13" s="10" t="str">
        <x:v>LEGACY_UNVERIFIED_SNAPSHOT: no immutable cutoff/model/source packet</x:v>
      </x:c>
      <x:c r="X13" s="10" t="str">
        <x:v>projection_error; rank_error; exact_complement_selection</x:v>
      </x:c>
    </x:row>
    <x:row r="14">
      <x:c r="A14" s="9" t="n">
        <x:v>10</x:v>
      </x:c>
      <x:c r="B14" s="9" t="str">
        <x:v>AFL-LIVE-20260710-COLL-NM-U1815-SETTLED</x:v>
      </x:c>
      <x:c r="C14" s="25" t="str">
        <x:v>2026-07-11</x:v>
      </x:c>
      <x:c r="D14" s="9" t="str">
        <x:v>Australian football</x:v>
      </x:c>
      <x:c r="E14" s="9" t="str">
        <x:v>AFL live</x:v>
      </x:c>
      <x:c r="F14" s="10" t="str">
        <x:v>Collingwood vs North Melbourne</x:v>
      </x:c>
      <x:c r="G14" s="10" t="str">
        <x:v>AFL Round 18</x:v>
      </x:c>
      <x:c r="H14" s="10" t="str">
        <x:v>Live Under 181.5 Q2</x:v>
      </x:c>
      <x:c r="I14" s="9" t="n">
        <x:v>1</x:v>
      </x:c>
      <x:c r="J14" s="10" t="str">
        <x:v>Under 181.5 at 40-40 Q2 16:10</x:v>
      </x:c>
      <x:c r="K14" s="9" t="str">
        <x:v>181.5</x:v>
      </x:c>
      <x:c r="L14" s="23" t="n">
        <x:v>0.53</x:v>
      </x:c>
      <x:c r="M14" s="9" t="str">
        <x:v>W</x:v>
      </x:c>
      <x:c r="N14" s="9" t="n">
        <x:f>IF(M14="W",1,IF(M14="L",0,""))</x:f>
        <x:v>1</x:v>
      </x:c>
      <x:c r="O14" s="24" t="n">
        <x:f>IF(OR(M14="W",M14="L"),(L14-N14)^2,"")</x:f>
        <x:v>0.22089999999999999</x:v>
      </x:c>
      <x:c r="P14" s="9" t="str">
        <x:v>NO</x:v>
      </x:c>
      <x:c r="Q14" s="9" t="str">
        <x:v>50-59</x:v>
      </x:c>
      <x:c r="R14" s="9" t="str">
        <x:v>NO</x:v>
      </x:c>
      <x:c r="S14" s="10" t="str">
        <x:v>ESPN AFL summary API final checked 2026-07-11 AEST</x:v>
      </x:c>
      <x:c r="T14" s="10" t="str">
        <x:f>IF(IFERROR(ISNUMBER(SEARCH("http",S14)),FALSE),"YES","NO")</x:f>
        <x:v>NO</x:v>
      </x:c>
      <x:c r="U14" s="10" t="str">
        <x:v>NO</x:v>
      </x:c>
      <x:c r="V14" s="10" t="str">
        <x:v>NO</x:v>
      </x:c>
      <x:c r="W14" s="10" t="str">
        <x:v>LEGACY_UNVERIFIED_SNAPSHOT: no immutable cutoff/model/source packet</x:v>
      </x:c>
      <x:c r="X14" s="10" t="str">
        <x:v>legacy schema only</x:v>
      </x:c>
    </x:row>
    <x:row r="15">
      <x:c r="A15" s="9" t="n">
        <x:v>11</x:v>
      </x:c>
      <x:c r="B15" s="9" t="str">
        <x:v>AFL-LIVE-20260710-COLL-NM-U1815-HT-SETTLED</x:v>
      </x:c>
      <x:c r="C15" s="25" t="str">
        <x:v>2026-07-11</x:v>
      </x:c>
      <x:c r="D15" s="9" t="str">
        <x:v>Australian football</x:v>
      </x:c>
      <x:c r="E15" s="9" t="str">
        <x:v>AFL live</x:v>
      </x:c>
      <x:c r="F15" s="10" t="str">
        <x:v>Collingwood vs North Melbourne</x:v>
      </x:c>
      <x:c r="G15" s="10" t="str">
        <x:v>AFL Round 18</x:v>
      </x:c>
      <x:c r="H15" s="10" t="str">
        <x:v>Live Under 181.5 halftime</x:v>
      </x:c>
      <x:c r="I15" s="9" t="n">
        <x:v>1</x:v>
      </x:c>
      <x:c r="J15" s="10" t="str">
        <x:v>Under 181.5 at halftime 47-42</x:v>
      </x:c>
      <x:c r="K15" s="9" t="str">
        <x:v>181.5</x:v>
      </x:c>
      <x:c r="L15" s="23" t="n">
        <x:v>0.58</x:v>
      </x:c>
      <x:c r="M15" s="9" t="str">
        <x:v>W</x:v>
      </x:c>
      <x:c r="N15" s="9" t="n">
        <x:f>IF(M15="W",1,IF(M15="L",0,""))</x:f>
        <x:v>1</x:v>
      </x:c>
      <x:c r="O15" s="24" t="n">
        <x:f>IF(OR(M15="W",M15="L"),(L15-N15)^2,"")</x:f>
        <x:v>0.17640000000000003</x:v>
      </x:c>
      <x:c r="P15" s="9" t="str">
        <x:v>NO</x:v>
      </x:c>
      <x:c r="Q15" s="9" t="str">
        <x:v>50-59</x:v>
      </x:c>
      <x:c r="R15" s="9" t="str">
        <x:v>NO</x:v>
      </x:c>
      <x:c r="S15" s="10" t="str">
        <x:v>ESPN AFL summary API final checked 2026-07-11 AEST</x:v>
      </x:c>
      <x:c r="T15" s="10" t="str">
        <x:f>IF(IFERROR(ISNUMBER(SEARCH("http",S15)),FALSE),"YES","NO")</x:f>
        <x:v>NO</x:v>
      </x:c>
      <x:c r="U15" s="10" t="str">
        <x:v>NO</x:v>
      </x:c>
      <x:c r="V15" s="10" t="str">
        <x:v>NO</x:v>
      </x:c>
      <x:c r="W15" s="10" t="str">
        <x:v>LEGACY_UNVERIFIED_SNAPSHOT: no immutable cutoff/model/source packet</x:v>
      </x:c>
      <x:c r="X15" s="10" t="str">
        <x:v>legacy schema only</x:v>
      </x:c>
    </x:row>
    <x:row r="16">
      <x:c r="A16" s="9" t="n">
        <x:v>12</x:v>
      </x:c>
      <x:c r="B16" s="9" t="str">
        <x:v>CRICKET-20260710-ENG-IND4</x:v>
      </x:c>
      <x:c r="C16" s="25" t="str">
        <x:v>2026-07-10</x:v>
      </x:c>
      <x:c r="D16" s="9" t="str">
        <x:v>Cricket</x:v>
      </x:c>
      <x:c r="E16" s="9" t="str">
        <x:v>Cricket/T20I</x:v>
      </x:c>
      <x:c r="F16" s="10" t="str">
        <x:v>England vs India</x:v>
      </x:c>
      <x:c r="G16" s="10" t="str">
        <x:v>India tour of England 2026, 4th T20I</x:v>
      </x:c>
      <x:c r="H16" s="10" t="str">
        <x:v>India innings and powerplay totals</x:v>
      </x:c>
      <x:c r="I16" s="9" t="n">
        <x:v>1</x:v>
      </x:c>
      <x:c r="J16" s="10" t="str">
        <x:v>India 1st innings Under 197.5</x:v>
      </x:c>
      <x:c r="K16" s="9" t="str">
        <x:v>197.5</x:v>
      </x:c>
      <x:c r="L16" s="23" t="n">
        <x:v>0.58</x:v>
      </x:c>
      <x:c r="M16" s="9" t="str">
        <x:v>W</x:v>
      </x:c>
      <x:c r="N16" s="9" t="n">
        <x:f>IF(M16="W",1,IF(M16="L",0,""))</x:f>
        <x:v>1</x:v>
      </x:c>
      <x:c r="O16" s="24" t="n">
        <x:f>IF(OR(M16="W",M16="L"),(L16-N16)^2,"")</x:f>
        <x:v>0.17640000000000003</x:v>
      </x:c>
      <x:c r="P16" s="9" t="str">
        <x:v>YES</x:v>
      </x:c>
      <x:c r="Q16" s="9" t="str">
        <x:v>50-59</x:v>
      </x:c>
      <x:c r="R16" s="9" t="str">
        <x:v>NO</x:v>
      </x:c>
      <x:c r="S16" s="10" t="str">
        <x:v>ESPNcricinfo scorecard and ESPN summary API checked 2026-07-10 AEST</x:v>
      </x:c>
      <x:c r="T16" s="10" t="str">
        <x:f>IF(IFERROR(ISNUMBER(SEARCH("http",S16)),FALSE),"YES","NO")</x:f>
        <x:v>NO</x:v>
      </x:c>
      <x:c r="U16" s="10" t="str">
        <x:v>NO</x:v>
      </x:c>
      <x:c r="V16" s="10" t="str">
        <x:v>NO</x:v>
      </x:c>
      <x:c r="W16" s="10" t="str">
        <x:v>LEGACY_UNVERIFIED_SNAPSHOT: no immutable cutoff/model/source packet</x:v>
      </x:c>
      <x:c r="X16" s="10" t="str">
        <x:v>projection_error; exact_complement_selection</x:v>
      </x:c>
    </x:row>
    <x:row r="17">
      <x:c r="A17" s="9" t="n">
        <x:v>13</x:v>
      </x:c>
      <x:c r="B17" s="9" t="str">
        <x:v>CRICKET-20260710-ENG-IND4</x:v>
      </x:c>
      <x:c r="C17" s="25" t="str">
        <x:v>2026-07-10</x:v>
      </x:c>
      <x:c r="D17" s="9" t="str">
        <x:v>Cricket</x:v>
      </x:c>
      <x:c r="E17" s="9" t="str">
        <x:v>Cricket/T20I</x:v>
      </x:c>
      <x:c r="F17" s="10" t="str">
        <x:v>England vs India</x:v>
      </x:c>
      <x:c r="G17" s="10" t="str">
        <x:v>India tour of England 2026, 4th T20I</x:v>
      </x:c>
      <x:c r="H17" s="10" t="str">
        <x:v>India innings and powerplay totals</x:v>
      </x:c>
      <x:c r="I17" s="9" t="n">
        <x:v>2</x:v>
      </x:c>
      <x:c r="J17" s="10" t="str">
        <x:v>India powerplay Under 64.5</x:v>
      </x:c>
      <x:c r="K17" s="9" t="str">
        <x:v>64.5</x:v>
      </x:c>
      <x:c r="L17" s="23" t="n">
        <x:v>0.55</x:v>
      </x:c>
      <x:c r="M17" s="9" t="str">
        <x:v>W</x:v>
      </x:c>
      <x:c r="N17" s="9" t="n">
        <x:f>IF(M17="W",1,IF(M17="L",0,""))</x:f>
        <x:v>1</x:v>
      </x:c>
      <x:c r="O17" s="24" t="n">
        <x:f>IF(OR(M17="W",M17="L"),(L17-N17)^2,"")</x:f>
        <x:v>0.20249999999999996</x:v>
      </x:c>
      <x:c r="P17" s="9" t="str">
        <x:v>YES</x:v>
      </x:c>
      <x:c r="Q17" s="9" t="str">
        <x:v>50-59</x:v>
      </x:c>
      <x:c r="R17" s="9" t="str">
        <x:v>NO</x:v>
      </x:c>
      <x:c r="S17" s="10" t="str">
        <x:v>ESPNcricinfo scorecard and ESPN summary API checked 2026-07-10 AEST</x:v>
      </x:c>
      <x:c r="T17" s="10" t="str">
        <x:f>IF(IFERROR(ISNUMBER(SEARCH("http",S17)),FALSE),"YES","NO")</x:f>
        <x:v>NO</x:v>
      </x:c>
      <x:c r="U17" s="10" t="str">
        <x:v>NO</x:v>
      </x:c>
      <x:c r="V17" s="10" t="str">
        <x:v>NO</x:v>
      </x:c>
      <x:c r="W17" s="10" t="str">
        <x:v>LEGACY_UNVERIFIED_SNAPSHOT: no immutable cutoff/model/source packet</x:v>
      </x:c>
      <x:c r="X17" s="10" t="str">
        <x:v>projection_error; exact_complement_selection</x:v>
      </x:c>
    </x:row>
    <x:row r="18">
      <x:c r="A18" s="9" t="n">
        <x:v>14</x:v>
      </x:c>
      <x:c r="B18" s="9" t="str">
        <x:v>CRICKET-20260710-ENG-IND4</x:v>
      </x:c>
      <x:c r="C18" s="25" t="str">
        <x:v>2026-07-10</x:v>
      </x:c>
      <x:c r="D18" s="9" t="str">
        <x:v>Cricket</x:v>
      </x:c>
      <x:c r="E18" s="9" t="str">
        <x:v>Cricket/T20I</x:v>
      </x:c>
      <x:c r="F18" s="10" t="str">
        <x:v>England vs India</x:v>
      </x:c>
      <x:c r="G18" s="10" t="str">
        <x:v>India tour of England 2026, 4th T20I</x:v>
      </x:c>
      <x:c r="H18" s="10" t="str">
        <x:v>India innings and powerplay totals</x:v>
      </x:c>
      <x:c r="I18" s="9" t="n">
        <x:v>3</x:v>
      </x:c>
      <x:c r="J18" s="10" t="str">
        <x:v>India powerplay Over 64.5</x:v>
      </x:c>
      <x:c r="K18" s="9" t="str">
        <x:v>64.5</x:v>
      </x:c>
      <x:c r="L18" s="23" t="n">
        <x:v>0.45</x:v>
      </x:c>
      <x:c r="M18" s="9" t="str">
        <x:v>L</x:v>
      </x:c>
      <x:c r="N18" s="9" t="n">
        <x:f>IF(M18="W",1,IF(M18="L",0,""))</x:f>
        <x:v>0</x:v>
      </x:c>
      <x:c r="O18" s="24" t="n">
        <x:f>IF(OR(M18="W",M18="L"),(L18-N18)^2,"")</x:f>
        <x:v>0.2025</x:v>
      </x:c>
      <x:c r="P18" s="9" t="str">
        <x:v>YES</x:v>
      </x:c>
      <x:c r="Q18" s="9" t="str">
        <x:v>40-49</x:v>
      </x:c>
      <x:c r="R18" s="9" t="str">
        <x:v>NO</x:v>
      </x:c>
      <x:c r="S18" s="10" t="str">
        <x:v>ESPNcricinfo scorecard and ESPN summary API checked 2026-07-10 AEST</x:v>
      </x:c>
      <x:c r="T18" s="10" t="str">
        <x:f>IF(IFERROR(ISNUMBER(SEARCH("http",S18)),FALSE),"YES","NO")</x:f>
        <x:v>NO</x:v>
      </x:c>
      <x:c r="U18" s="10" t="str">
        <x:v>NO</x:v>
      </x:c>
      <x:c r="V18" s="10" t="str">
        <x:v>NO</x:v>
      </x:c>
      <x:c r="W18" s="10" t="str">
        <x:v>LEGACY_UNVERIFIED_SNAPSHOT: no immutable cutoff/model/source packet</x:v>
      </x:c>
      <x:c r="X18" s="10" t="str">
        <x:v>projection_error; exact_complement_selection</x:v>
      </x:c>
    </x:row>
    <x:row r="19">
      <x:c r="A19" s="9" t="n">
        <x:v>15</x:v>
      </x:c>
      <x:c r="B19" s="9" t="str">
        <x:v>CRICKET-20260710-ENG-IND4</x:v>
      </x:c>
      <x:c r="C19" s="25" t="str">
        <x:v>2026-07-10</x:v>
      </x:c>
      <x:c r="D19" s="9" t="str">
        <x:v>Cricket</x:v>
      </x:c>
      <x:c r="E19" s="9" t="str">
        <x:v>Cricket/T20I</x:v>
      </x:c>
      <x:c r="F19" s="10" t="str">
        <x:v>England vs India</x:v>
      </x:c>
      <x:c r="G19" s="10" t="str">
        <x:v>India tour of England 2026, 4th T20I</x:v>
      </x:c>
      <x:c r="H19" s="10" t="str">
        <x:v>India innings and powerplay totals</x:v>
      </x:c>
      <x:c r="I19" s="9" t="n">
        <x:v>4</x:v>
      </x:c>
      <x:c r="J19" s="10" t="str">
        <x:v>India 1st innings Over 197.5</x:v>
      </x:c>
      <x:c r="K19" s="9" t="str">
        <x:v>197.5</x:v>
      </x:c>
      <x:c r="L19" s="23" t="n">
        <x:v>0.42</x:v>
      </x:c>
      <x:c r="M19" s="9" t="str">
        <x:v>L</x:v>
      </x:c>
      <x:c r="N19" s="9" t="n">
        <x:f>IF(M19="W",1,IF(M19="L",0,""))</x:f>
        <x:v>0</x:v>
      </x:c>
      <x:c r="O19" s="24" t="n">
        <x:f>IF(OR(M19="W",M19="L"),(L19-N19)^2,"")</x:f>
        <x:v>0.17639999999999997</x:v>
      </x:c>
      <x:c r="P19" s="9" t="str">
        <x:v>YES</x:v>
      </x:c>
      <x:c r="Q19" s="9" t="str">
        <x:v>40-49</x:v>
      </x:c>
      <x:c r="R19" s="9" t="str">
        <x:v>NO</x:v>
      </x:c>
      <x:c r="S19" s="10" t="str">
        <x:v>ESPNcricinfo scorecard and ESPN summary API checked 2026-07-10 AEST</x:v>
      </x:c>
      <x:c r="T19" s="10" t="str">
        <x:f>IF(IFERROR(ISNUMBER(SEARCH("http",S19)),FALSE),"YES","NO")</x:f>
        <x:v>NO</x:v>
      </x:c>
      <x:c r="U19" s="10" t="str">
        <x:v>NO</x:v>
      </x:c>
      <x:c r="V19" s="10" t="str">
        <x:v>NO</x:v>
      </x:c>
      <x:c r="W19" s="10" t="str">
        <x:v>LEGACY_UNVERIFIED_SNAPSHOT: no immutable cutoff/model/source packet</x:v>
      </x:c>
      <x:c r="X19" s="10" t="str">
        <x:v>projection_error; exact_complement_selection</x:v>
      </x:c>
    </x:row>
    <x:row r="20">
      <x:c r="A20" s="9" t="n">
        <x:v>16</x:v>
      </x:c>
      <x:c r="B20" s="9" t="str">
        <x:v>AFL-20260612-GEEL-GC</x:v>
      </x:c>
      <x:c r="C20" s="25" t="str">
        <x:v>2026-06-12</x:v>
      </x:c>
      <x:c r="D20" s="9" t="str">
        <x:v>Australian football</x:v>
      </x:c>
      <x:c r="E20" s="9" t="str">
        <x:v>AFL</x:v>
      </x:c>
      <x:c r="F20" s="10" t="str">
        <x:v>Geelong Cats vs Gold Coast SUNS</x:v>
      </x:c>
      <x:c r="G20" s="10" t="str">
        <x:v>AFL Round 14</x:v>
      </x:c>
      <x:c r="H20" s="10" t="str">
        <x:v>Full-game total and handicap</x:v>
      </x:c>
      <x:c r="I20" s="9" t="n">
        <x:v>1</x:v>
      </x:c>
      <x:c r="J20" s="10" t="str">
        <x:v>SUNS +37.5</x:v>
      </x:c>
      <x:c r="K20" s="9" t="str">
        <x:v>+37.5</x:v>
      </x:c>
      <x:c r="L20" s="23" t="n">
        <x:v>0.66</x:v>
      </x:c>
      <x:c r="M20" s="9" t="str">
        <x:v>L</x:v>
      </x:c>
      <x:c r="N20" s="9" t="n">
        <x:f>IF(M20="W",1,IF(M20="L",0,""))</x:f>
        <x:v>0</x:v>
      </x:c>
      <x:c r="O20" s="24" t="n">
        <x:f>IF(OR(M20="W",M20="L"),(L20-N20)^2,"")</x:f>
        <x:v>0.43560000000000004</x:v>
      </x:c>
      <x:c r="P20" s="9" t="str">
        <x:v>NO</x:v>
      </x:c>
      <x:c r="Q20" s="9" t="str">
        <x:v>60-69</x:v>
      </x:c>
      <x:c r="R20" s="9" t="str">
        <x:v>NO</x:v>
      </x:c>
      <x:c r="S20" s="10" t="str">
        <x:v>ESPN AFL API event 1133598 Final; Herald Sun line score</x:v>
      </x:c>
      <x:c r="T20" s="10" t="str">
        <x:f>IF(IFERROR(ISNUMBER(SEARCH("http",S20)),FALSE),"YES","NO")</x:f>
        <x:v>NO</x:v>
      </x:c>
      <x:c r="U20" s="10" t="str">
        <x:v>NO</x:v>
      </x:c>
      <x:c r="V20" s="10" t="str">
        <x:v>NO</x:v>
      </x:c>
      <x:c r="W20" s="10" t="str">
        <x:v>LEGACY_UNVERIFIED_SNAPSHOT: no immutable cutoff/model/source packet</x:v>
      </x:c>
      <x:c r="X20" s="10" t="str">
        <x:v>projection_error; rank_error; availability_error</x:v>
      </x:c>
    </x:row>
    <x:row r="21">
      <x:c r="A21" s="9" t="n">
        <x:v>17</x:v>
      </x:c>
      <x:c r="B21" s="9" t="str">
        <x:v>AFL-20260612-GEEL-GC</x:v>
      </x:c>
      <x:c r="C21" s="25" t="str">
        <x:v>2026-06-12</x:v>
      </x:c>
      <x:c r="D21" s="9" t="str">
        <x:v>Australian football</x:v>
      </x:c>
      <x:c r="E21" s="9" t="str">
        <x:v>AFL</x:v>
      </x:c>
      <x:c r="F21" s="10" t="str">
        <x:v>Geelong Cats vs Gold Coast SUNS</x:v>
      </x:c>
      <x:c r="G21" s="10" t="str">
        <x:v>AFL Round 14</x:v>
      </x:c>
      <x:c r="H21" s="10" t="str">
        <x:v>Full-game total and handicap</x:v>
      </x:c>
      <x:c r="I21" s="9" t="n">
        <x:v>2</x:v>
      </x:c>
      <x:c r="J21" s="10" t="str">
        <x:v>Combined Total Over 168.5 Points</x:v>
      </x:c>
      <x:c r="K21" s="9" t="str">
        <x:v>Over 168.5</x:v>
      </x:c>
      <x:c r="L21" s="23" t="n">
        <x:v>0.63</x:v>
      </x:c>
      <x:c r="M21" s="9" t="str">
        <x:v>L</x:v>
      </x:c>
      <x:c r="N21" s="9" t="n">
        <x:f>IF(M21="W",1,IF(M21="L",0,""))</x:f>
        <x:v>0</x:v>
      </x:c>
      <x:c r="O21" s="24" t="n">
        <x:f>IF(OR(M21="W",M21="L"),(L21-N21)^2,"")</x:f>
        <x:v>0.39690000000000003</x:v>
      </x:c>
      <x:c r="P21" s="9" t="str">
        <x:v>NO</x:v>
      </x:c>
      <x:c r="Q21" s="9" t="str">
        <x:v>60-69</x:v>
      </x:c>
      <x:c r="R21" s="9" t="str">
        <x:v>NO</x:v>
      </x:c>
      <x:c r="S21" s="10" t="str">
        <x:v>ESPN AFL API event 1133598 Final; Herald Sun line score</x:v>
      </x:c>
      <x:c r="T21" s="10" t="str">
        <x:f>IF(IFERROR(ISNUMBER(SEARCH("http",S21)),FALSE),"YES","NO")</x:f>
        <x:v>NO</x:v>
      </x:c>
      <x:c r="U21" s="10" t="str">
        <x:v>NO</x:v>
      </x:c>
      <x:c r="V21" s="10" t="str">
        <x:v>NO</x:v>
      </x:c>
      <x:c r="W21" s="10" t="str">
        <x:v>LEGACY_UNVERIFIED_SNAPSHOT: no immutable cutoff/model/source packet</x:v>
      </x:c>
      <x:c r="X21" s="10" t="str">
        <x:v>projection_error; rank_error</x:v>
      </x:c>
    </x:row>
    <x:row r="22">
      <x:c r="A22" s="9" t="n">
        <x:v>18</x:v>
      </x:c>
      <x:c r="B22" s="9" t="str">
        <x:v>AFL-20260612-GEEL-GC</x:v>
      </x:c>
      <x:c r="C22" s="25" t="str">
        <x:v>2026-06-12</x:v>
      </x:c>
      <x:c r="D22" s="9" t="str">
        <x:v>Australian football</x:v>
      </x:c>
      <x:c r="E22" s="9" t="str">
        <x:v>AFL</x:v>
      </x:c>
      <x:c r="F22" s="10" t="str">
        <x:v>Geelong Cats vs Gold Coast SUNS</x:v>
      </x:c>
      <x:c r="G22" s="10" t="str">
        <x:v>AFL Round 14</x:v>
      </x:c>
      <x:c r="H22" s="10" t="str">
        <x:v>Full-game total and handicap</x:v>
      </x:c>
      <x:c r="I22" s="9" t="n">
        <x:v>3</x:v>
      </x:c>
      <x:c r="J22" s="10" t="str">
        <x:v>Combined Total Under 188.5 Points</x:v>
      </x:c>
      <x:c r="K22" s="9" t="str">
        <x:v>Under 188.5</x:v>
      </x:c>
      <x:c r="L22" s="23" t="n">
        <x:v>0.57</x:v>
      </x:c>
      <x:c r="M22" s="9" t="str">
        <x:v>W</x:v>
      </x:c>
      <x:c r="N22" s="9" t="n">
        <x:f>IF(M22="W",1,IF(M22="L",0,""))</x:f>
        <x:v>1</x:v>
      </x:c>
      <x:c r="O22" s="24" t="n">
        <x:f>IF(OR(M22="W",M22="L"),(L22-N22)^2,"")</x:f>
        <x:v>0.18490000000000004</x:v>
      </x:c>
      <x:c r="P22" s="9" t="str">
        <x:v>NO</x:v>
      </x:c>
      <x:c r="Q22" s="9" t="str">
        <x:v>50-59</x:v>
      </x:c>
      <x:c r="R22" s="9" t="str">
        <x:v>NO</x:v>
      </x:c>
      <x:c r="S22" s="10" t="str">
        <x:v>ESPN AFL API event 1133598 Final; Herald Sun line score</x:v>
      </x:c>
      <x:c r="T22" s="10" t="str">
        <x:f>IF(IFERROR(ISNUMBER(SEARCH("http",S22)),FALSE),"YES","NO")</x:f>
        <x:v>NO</x:v>
      </x:c>
      <x:c r="U22" s="10" t="str">
        <x:v>NO</x:v>
      </x:c>
      <x:c r="V22" s="10" t="str">
        <x:v>NO</x:v>
      </x:c>
      <x:c r="W22" s="10" t="str">
        <x:v>LEGACY_UNVERIFIED_SNAPSHOT: no immutable cutoff/model/source packet</x:v>
      </x:c>
      <x:c r="X22" s="10" t="str">
        <x:v>projection_error; rank_error</x:v>
      </x:c>
    </x:row>
    <x:row r="23">
      <x:c r="A23" s="9" t="n">
        <x:v>19</x:v>
      </x:c>
      <x:c r="B23" s="9" t="str">
        <x:v>AFL-20260612-GEEL-GC</x:v>
      </x:c>
      <x:c r="C23" s="25" t="str">
        <x:v>2026-06-12</x:v>
      </x:c>
      <x:c r="D23" s="9" t="str">
        <x:v>Australian football</x:v>
      </x:c>
      <x:c r="E23" s="9" t="str">
        <x:v>AFL</x:v>
      </x:c>
      <x:c r="F23" s="10" t="str">
        <x:v>Geelong Cats vs Gold Coast SUNS</x:v>
      </x:c>
      <x:c r="G23" s="10" t="str">
        <x:v>AFL Round 14</x:v>
      </x:c>
      <x:c r="H23" s="10" t="str">
        <x:v>Full-game total and handicap</x:v>
      </x:c>
      <x:c r="I23" s="9" t="n">
        <x:v>4</x:v>
      </x:c>
      <x:c r="J23" s="10" t="str">
        <x:v>Cats -17.5</x:v>
      </x:c>
      <x:c r="K23" s="9" t="str">
        <x:v>Cats -17.5</x:v>
      </x:c>
      <x:c r="L23" s="23" t="n">
        <x:v>0.52</x:v>
      </x:c>
      <x:c r="M23" s="9" t="str">
        <x:v>W</x:v>
      </x:c>
      <x:c r="N23" s="9" t="n">
        <x:f>IF(M23="W",1,IF(M23="L",0,""))</x:f>
        <x:v>1</x:v>
      </x:c>
      <x:c r="O23" s="24" t="n">
        <x:f>IF(OR(M23="W",M23="L"),(L23-N23)^2,"")</x:f>
        <x:v>0.2304</x:v>
      </x:c>
      <x:c r="P23" s="9" t="str">
        <x:v>NO</x:v>
      </x:c>
      <x:c r="Q23" s="9" t="str">
        <x:v>50-59</x:v>
      </x:c>
      <x:c r="R23" s="9" t="str">
        <x:v>NO</x:v>
      </x:c>
      <x:c r="S23" s="10" t="str">
        <x:v>ESPN AFL API event 1133598 Final; Herald Sun line score</x:v>
      </x:c>
      <x:c r="T23" s="10" t="str">
        <x:f>IF(IFERROR(ISNUMBER(SEARCH("http",S23)),FALSE),"YES","NO")</x:f>
        <x:v>NO</x:v>
      </x:c>
      <x:c r="U23" s="10" t="str">
        <x:v>NO</x:v>
      </x:c>
      <x:c r="V23" s="10" t="str">
        <x:v>NO</x:v>
      </x:c>
      <x:c r="W23" s="10" t="str">
        <x:v>LEGACY_UNVERIFIED_SNAPSHOT: no immutable cutoff/model/source packet</x:v>
      </x:c>
      <x:c r="X23" s="10" t="str">
        <x:v>projection_error; rank_error; availability_error</x:v>
      </x:c>
    </x:row>
    <x:row r="24">
      <x:c r="A24" s="9" t="n">
        <x:v>20</x:v>
      </x:c>
      <x:c r="B24" s="9" t="str">
        <x:v>CRIC-20260613-CAN-USA</x:v>
      </x:c>
      <x:c r="C24" s="25" t="str">
        <x:v>2026-06-13</x:v>
      </x:c>
      <x:c r="D24" s="9" t="str">
        <x:v>Cricket</x:v>
      </x:c>
      <x:c r="E24" s="9" t="str">
        <x:v>Cricket</x:v>
      </x:c>
      <x:c r="F24" s="10" t="str">
        <x:v>Canada vs United States of America</x:v>
      </x:c>
      <x:c r="G24" s="10" t="str">
        <x:v>ICC Men's CWC League 2</x:v>
      </x:c>
      <x:c r="H24" s="10" t="str">
        <x:v>Canada innings total and first-5 total</x:v>
      </x:c>
      <x:c r="I24" s="9" t="n">
        <x:v>1</x:v>
      </x:c>
      <x:c r="J24" s="10" t="str">
        <x:v>Canada first-5 Over 17.5</x:v>
      </x:c>
      <x:c r="K24" s="9" t="str">
        <x:v>Over 17.5</x:v>
      </x:c>
      <x:c r="L24" s="23" t="n">
        <x:v>0.62</x:v>
      </x:c>
      <x:c r="M24" s="9" t="str">
        <x:v>W</x:v>
      </x:c>
      <x:c r="N24" s="9" t="n">
        <x:f>IF(M24="W",1,IF(M24="L",0,""))</x:f>
        <x:v>1</x:v>
      </x:c>
      <x:c r="O24" s="24" t="n">
        <x:f>IF(OR(M24="W",M24="L"),(L24-N24)^2,"")</x:f>
        <x:v>0.1444</x:v>
      </x:c>
      <x:c r="P24" s="9" t="str">
        <x:v>YES</x:v>
      </x:c>
      <x:c r="Q24" s="9" t="str">
        <x:v>60-69</x:v>
      </x:c>
      <x:c r="R24" s="9" t="str">
        <x:v>NO</x:v>
      </x:c>
      <x:c r="S24" s="10" t="str">
        <x:v>ESPNcricinfo via r.jina.ai proxy 2026-06-14</x:v>
      </x:c>
      <x:c r="T24" s="10" t="str">
        <x:f>IF(IFERROR(ISNUMBER(SEARCH("http",S24)),FALSE),"YES","NO")</x:f>
        <x:v>NO</x:v>
      </x:c>
      <x:c r="U24" s="10" t="str">
        <x:v>NO</x:v>
      </x:c>
      <x:c r="V24" s="10" t="str">
        <x:v>NO</x:v>
      </x:c>
      <x:c r="W24" s="10" t="str">
        <x:v>LEGACY_UNVERIFIED_SNAPSHOT: no immutable cutoff/model/source packet</x:v>
      </x:c>
      <x:c r="X24" s="10" t="str">
        <x:v>exact_complement_selection</x:v>
      </x:c>
    </x:row>
    <x:row r="25">
      <x:c r="A25" s="9" t="n">
        <x:v>21</x:v>
      </x:c>
      <x:c r="B25" s="9" t="str">
        <x:v>CRIC-20260613-CAN-USA</x:v>
      </x:c>
      <x:c r="C25" s="25" t="str">
        <x:v>2026-06-13</x:v>
      </x:c>
      <x:c r="D25" s="9" t="str">
        <x:v>Cricket</x:v>
      </x:c>
      <x:c r="E25" s="9" t="str">
        <x:v>Cricket</x:v>
      </x:c>
      <x:c r="F25" s="10" t="str">
        <x:v>Canada vs United States of America</x:v>
      </x:c>
      <x:c r="G25" s="10" t="str">
        <x:v>ICC Men's CWC League 2</x:v>
      </x:c>
      <x:c r="H25" s="10" t="str">
        <x:v>Canada innings total and first-5 total</x:v>
      </x:c>
      <x:c r="I25" s="9" t="n">
        <x:v>2</x:v>
      </x:c>
      <x:c r="J25" s="10" t="str">
        <x:v>Canada innings Over 208.5</x:v>
      </x:c>
      <x:c r="K25" s="9" t="str">
        <x:v>Over 208.5</x:v>
      </x:c>
      <x:c r="L25" s="23" t="n">
        <x:v>0.57</x:v>
      </x:c>
      <x:c r="M25" s="9" t="str">
        <x:v>W</x:v>
      </x:c>
      <x:c r="N25" s="9" t="n">
        <x:f>IF(M25="W",1,IF(M25="L",0,""))</x:f>
        <x:v>1</x:v>
      </x:c>
      <x:c r="O25" s="24" t="n">
        <x:f>IF(OR(M25="W",M25="L"),(L25-N25)^2,"")</x:f>
        <x:v>0.18490000000000004</x:v>
      </x:c>
      <x:c r="P25" s="9" t="str">
        <x:v>YES</x:v>
      </x:c>
      <x:c r="Q25" s="9" t="str">
        <x:v>50-59</x:v>
      </x:c>
      <x:c r="R25" s="9" t="str">
        <x:v>NO</x:v>
      </x:c>
      <x:c r="S25" s="10" t="str">
        <x:v>ESPNcricinfo via r.jina.ai proxy 2026-06-14</x:v>
      </x:c>
      <x:c r="T25" s="10" t="str">
        <x:f>IF(IFERROR(ISNUMBER(SEARCH("http",S25)),FALSE),"YES","NO")</x:f>
        <x:v>NO</x:v>
      </x:c>
      <x:c r="U25" s="10" t="str">
        <x:v>NO</x:v>
      </x:c>
      <x:c r="V25" s="10" t="str">
        <x:v>NO</x:v>
      </x:c>
      <x:c r="W25" s="10" t="str">
        <x:v>LEGACY_UNVERIFIED_SNAPSHOT: no immutable cutoff/model/source packet</x:v>
      </x:c>
      <x:c r="X25" s="10" t="str">
        <x:v>exact_complement_selection</x:v>
      </x:c>
    </x:row>
    <x:row r="26">
      <x:c r="A26" s="9" t="n">
        <x:v>22</x:v>
      </x:c>
      <x:c r="B26" s="9" t="str">
        <x:v>CRIC-20260613-CAN-USA</x:v>
      </x:c>
      <x:c r="C26" s="25" t="str">
        <x:v>2026-06-13</x:v>
      </x:c>
      <x:c r="D26" s="9" t="str">
        <x:v>Cricket</x:v>
      </x:c>
      <x:c r="E26" s="9" t="str">
        <x:v>Cricket</x:v>
      </x:c>
      <x:c r="F26" s="10" t="str">
        <x:v>Canada vs United States of America</x:v>
      </x:c>
      <x:c r="G26" s="10" t="str">
        <x:v>ICC Men's CWC League 2</x:v>
      </x:c>
      <x:c r="H26" s="10" t="str">
        <x:v>Canada innings total and first-5 total</x:v>
      </x:c>
      <x:c r="I26" s="9" t="n">
        <x:v>3</x:v>
      </x:c>
      <x:c r="J26" s="10" t="str">
        <x:v>Canada innings Under 208.5</x:v>
      </x:c>
      <x:c r="K26" s="9" t="str">
        <x:v>Under 208.5</x:v>
      </x:c>
      <x:c r="L26" s="23" t="n">
        <x:v>0.43</x:v>
      </x:c>
      <x:c r="M26" s="9" t="str">
        <x:v>L</x:v>
      </x:c>
      <x:c r="N26" s="9" t="n">
        <x:f>IF(M26="W",1,IF(M26="L",0,""))</x:f>
        <x:v>0</x:v>
      </x:c>
      <x:c r="O26" s="24" t="n">
        <x:f>IF(OR(M26="W",M26="L"),(L26-N26)^2,"")</x:f>
        <x:v>0.18489999999999998</x:v>
      </x:c>
      <x:c r="P26" s="9" t="str">
        <x:v>YES</x:v>
      </x:c>
      <x:c r="Q26" s="9" t="str">
        <x:v>40-49</x:v>
      </x:c>
      <x:c r="R26" s="9" t="str">
        <x:v>NO</x:v>
      </x:c>
      <x:c r="S26" s="10" t="str">
        <x:v>ESPNcricinfo via r.jina.ai proxy 2026-06-14</x:v>
      </x:c>
      <x:c r="T26" s="10" t="str">
        <x:f>IF(IFERROR(ISNUMBER(SEARCH("http",S26)),FALSE),"YES","NO")</x:f>
        <x:v>NO</x:v>
      </x:c>
      <x:c r="U26" s="10" t="str">
        <x:v>NO</x:v>
      </x:c>
      <x:c r="V26" s="10" t="str">
        <x:v>NO</x:v>
      </x:c>
      <x:c r="W26" s="10" t="str">
        <x:v>LEGACY_UNVERIFIED_SNAPSHOT: no immutable cutoff/model/source packet</x:v>
      </x:c>
      <x:c r="X26" s="10" t="str">
        <x:v>exact_complement_selection</x:v>
      </x:c>
    </x:row>
    <x:row r="27">
      <x:c r="A27" s="9" t="n">
        <x:v>23</x:v>
      </x:c>
      <x:c r="B27" s="9" t="str">
        <x:v>CRIC-20260613-CAN-USA</x:v>
      </x:c>
      <x:c r="C27" s="25" t="str">
        <x:v>2026-06-13</x:v>
      </x:c>
      <x:c r="D27" s="9" t="str">
        <x:v>Cricket</x:v>
      </x:c>
      <x:c r="E27" s="9" t="str">
        <x:v>Cricket</x:v>
      </x:c>
      <x:c r="F27" s="10" t="str">
        <x:v>Canada vs United States of America</x:v>
      </x:c>
      <x:c r="G27" s="10" t="str">
        <x:v>ICC Men's CWC League 2</x:v>
      </x:c>
      <x:c r="H27" s="10" t="str">
        <x:v>Canada innings total and first-5 total</x:v>
      </x:c>
      <x:c r="I27" s="9" t="n">
        <x:v>4</x:v>
      </x:c>
      <x:c r="J27" s="10" t="str">
        <x:v>Canada first-5 Under 17.5</x:v>
      </x:c>
      <x:c r="K27" s="9" t="str">
        <x:v>Under 17.5</x:v>
      </x:c>
      <x:c r="L27" s="23" t="n">
        <x:v>0.38</x:v>
      </x:c>
      <x:c r="M27" s="9" t="str">
        <x:v>L</x:v>
      </x:c>
      <x:c r="N27" s="9" t="n">
        <x:f>IF(M27="W",1,IF(M27="L",0,""))</x:f>
        <x:v>0</x:v>
      </x:c>
      <x:c r="O27" s="24" t="n">
        <x:f>IF(OR(M27="W",M27="L"),(L27-N27)^2,"")</x:f>
        <x:v>0.1444</x:v>
      </x:c>
      <x:c r="P27" s="9" t="str">
        <x:v>YES</x:v>
      </x:c>
      <x:c r="Q27" s="9" t="str">
        <x:v>30-39</x:v>
      </x:c>
      <x:c r="R27" s="9" t="str">
        <x:v>NO</x:v>
      </x:c>
      <x:c r="S27" s="10" t="str">
        <x:v>ESPNcricinfo via r.jina.ai proxy 2026-06-14</x:v>
      </x:c>
      <x:c r="T27" s="10" t="str">
        <x:f>IF(IFERROR(ISNUMBER(SEARCH("http",S27)),FALSE),"YES","NO")</x:f>
        <x:v>NO</x:v>
      </x:c>
      <x:c r="U27" s="10" t="str">
        <x:v>NO</x:v>
      </x:c>
      <x:c r="V27" s="10" t="str">
        <x:v>NO</x:v>
      </x:c>
      <x:c r="W27" s="10" t="str">
        <x:v>LEGACY_UNVERIFIED_SNAPSHOT: no immutable cutoff/model/source packet</x:v>
      </x:c>
      <x:c r="X27" s="10" t="str">
        <x:v>exact_complement_selection</x:v>
      </x:c>
    </x:row>
    <x:row r="28">
      <x:c r="A28" s="9" t="n">
        <x:v>24</x:v>
      </x:c>
      <x:c r="B28" s="9" t="str">
        <x:v>CRIC-20260614-NZW-WIW</x:v>
      </x:c>
      <x:c r="C28" s="25" t="str">
        <x:v>2026-06-14</x:v>
      </x:c>
      <x:c r="D28" s="9" t="str">
        <x:v>Cricket</x:v>
      </x:c>
      <x:c r="E28" s="9" t="str">
        <x:v>Cricket</x:v>
      </x:c>
      <x:c r="F28" s="10" t="str">
        <x:v>New Zealand Women vs West Indies Women</x:v>
      </x:c>
      <x:c r="G28" s="10" t="str">
        <x:v>ICC Women's T20 World Cup</x:v>
      </x:c>
      <x:c r="H28" s="10" t="str">
        <x:v>New Zealand innings 165.5 and first-6 45.5</x:v>
      </x:c>
      <x:c r="I28" s="9" t="n">
        <x:v>1</x:v>
      </x:c>
      <x:c r="J28" s="10" t="str">
        <x:v>NZ innings Over 165.5</x:v>
      </x:c>
      <x:c r="K28" s="9" t="str">
        <x:v>Over 165.5</x:v>
      </x:c>
      <x:c r="L28" s="23" t="n">
        <x:v>0.56</x:v>
      </x:c>
      <x:c r="M28" s="9" t="str">
        <x:v>L</x:v>
      </x:c>
      <x:c r="N28" s="9" t="n">
        <x:f>IF(M28="W",1,IF(M28="L",0,""))</x:f>
        <x:v>0</x:v>
      </x:c>
      <x:c r="O28" s="24" t="n">
        <x:f>IF(OR(M28="W",M28="L"),(L28-N28)^2,"")</x:f>
        <x:v>0.31360000000000005</x:v>
      </x:c>
      <x:c r="P28" s="9" t="str">
        <x:v>YES</x:v>
      </x:c>
      <x:c r="Q28" s="9" t="str">
        <x:v>50-59</x:v>
      </x:c>
      <x:c r="R28" s="9" t="str">
        <x:v>NO</x:v>
      </x:c>
      <x:c r="S28" s="10" t="str">
        <x:v>Cricbuzz scorecard correction 2026-06-16</x:v>
      </x:c>
      <x:c r="T28" s="10" t="str">
        <x:f>IF(IFERROR(ISNUMBER(SEARCH("http",S28)),FALSE),"YES","NO")</x:f>
        <x:v>NO</x:v>
      </x:c>
      <x:c r="U28" s="10" t="str">
        <x:v>NO</x:v>
      </x:c>
      <x:c r="V28" s="10" t="str">
        <x:v>NO</x:v>
      </x:c>
      <x:c r="W28" s="10" t="str">
        <x:v>LEGACY_UNVERIFIED_SNAPSHOT: no immutable cutoff/model/source packet</x:v>
      </x:c>
      <x:c r="X28" s="10" t="str">
        <x:v>projection_error; exact_complement_selection</x:v>
      </x:c>
    </x:row>
    <x:row r="29">
      <x:c r="A29" s="9" t="n">
        <x:v>25</x:v>
      </x:c>
      <x:c r="B29" s="9" t="str">
        <x:v>CRIC-20260614-NZW-WIW</x:v>
      </x:c>
      <x:c r="C29" s="25" t="str">
        <x:v>2026-06-14</x:v>
      </x:c>
      <x:c r="D29" s="9" t="str">
        <x:v>Cricket</x:v>
      </x:c>
      <x:c r="E29" s="9" t="str">
        <x:v>Cricket</x:v>
      </x:c>
      <x:c r="F29" s="10" t="str">
        <x:v>New Zealand Women vs West Indies Women</x:v>
      </x:c>
      <x:c r="G29" s="10" t="str">
        <x:v>ICC Women's T20 World Cup</x:v>
      </x:c>
      <x:c r="H29" s="10" t="str">
        <x:v>New Zealand innings 165.5 and first-6 45.5</x:v>
      </x:c>
      <x:c r="I29" s="9" t="n">
        <x:v>2</x:v>
      </x:c>
      <x:c r="J29" s="10" t="str">
        <x:v>NZ first-6 Over 45.5</x:v>
      </x:c>
      <x:c r="K29" s="9" t="str">
        <x:v>Over 45.5</x:v>
      </x:c>
      <x:c r="L29" s="23" t="n">
        <x:v>0.54</x:v>
      </x:c>
      <x:c r="M29" s="9" t="str">
        <x:v>W</x:v>
      </x:c>
      <x:c r="N29" s="9" t="n">
        <x:f>IF(M29="W",1,IF(M29="L",0,""))</x:f>
        <x:v>1</x:v>
      </x:c>
      <x:c r="O29" s="24" t="n">
        <x:f>IF(OR(M29="W",M29="L"),(L29-N29)^2,"")</x:f>
        <x:v>0.21159999999999995</x:v>
      </x:c>
      <x:c r="P29" s="9" t="str">
        <x:v>YES</x:v>
      </x:c>
      <x:c r="Q29" s="9" t="str">
        <x:v>50-59</x:v>
      </x:c>
      <x:c r="R29" s="9" t="str">
        <x:v>NO</x:v>
      </x:c>
      <x:c r="S29" s="10" t="str">
        <x:v>Cricbuzz scorecard correction 2026-06-16</x:v>
      </x:c>
      <x:c r="T29" s="10" t="str">
        <x:f>IF(IFERROR(ISNUMBER(SEARCH("http",S29)),FALSE),"YES","NO")</x:f>
        <x:v>NO</x:v>
      </x:c>
      <x:c r="U29" s="10" t="str">
        <x:v>NO</x:v>
      </x:c>
      <x:c r="V29" s="10" t="str">
        <x:v>NO</x:v>
      </x:c>
      <x:c r="W29" s="10" t="str">
        <x:v>LEGACY_UNVERIFIED_SNAPSHOT: no immutable cutoff/model/source packet</x:v>
      </x:c>
      <x:c r="X29" s="10" t="str">
        <x:v>exact_complement_selection</x:v>
      </x:c>
    </x:row>
    <x:row r="30">
      <x:c r="A30" s="9" t="n">
        <x:v>26</x:v>
      </x:c>
      <x:c r="B30" s="9" t="str">
        <x:v>CRIC-20260614-NZW-WIW</x:v>
      </x:c>
      <x:c r="C30" s="25" t="str">
        <x:v>2026-06-14</x:v>
      </x:c>
      <x:c r="D30" s="9" t="str">
        <x:v>Cricket</x:v>
      </x:c>
      <x:c r="E30" s="9" t="str">
        <x:v>Cricket</x:v>
      </x:c>
      <x:c r="F30" s="10" t="str">
        <x:v>New Zealand Women vs West Indies Women</x:v>
      </x:c>
      <x:c r="G30" s="10" t="str">
        <x:v>ICC Women's T20 World Cup</x:v>
      </x:c>
      <x:c r="H30" s="10" t="str">
        <x:v>New Zealand innings 165.5 and first-6 45.5</x:v>
      </x:c>
      <x:c r="I30" s="9" t="n">
        <x:v>3</x:v>
      </x:c>
      <x:c r="J30" s="10" t="str">
        <x:v>NZ innings Under 165.5</x:v>
      </x:c>
      <x:c r="K30" s="9" t="str">
        <x:v>Under 165.5</x:v>
      </x:c>
      <x:c r="L30" s="23" t="n">
        <x:v>0.44</x:v>
      </x:c>
      <x:c r="M30" s="9" t="str">
        <x:v>W</x:v>
      </x:c>
      <x:c r="N30" s="9" t="n">
        <x:f>IF(M30="W",1,IF(M30="L",0,""))</x:f>
        <x:v>1</x:v>
      </x:c>
      <x:c r="O30" s="24" t="n">
        <x:f>IF(OR(M30="W",M30="L"),(L30-N30)^2,"")</x:f>
        <x:v>0.31360000000000005</x:v>
      </x:c>
      <x:c r="P30" s="9" t="str">
        <x:v>YES</x:v>
      </x:c>
      <x:c r="Q30" s="9" t="str">
        <x:v>40-49</x:v>
      </x:c>
      <x:c r="R30" s="9" t="str">
        <x:v>NO</x:v>
      </x:c>
      <x:c r="S30" s="10" t="str">
        <x:v>Cricbuzz scorecard correction 2026-06-16</x:v>
      </x:c>
      <x:c r="T30" s="10" t="str">
        <x:f>IF(IFERROR(ISNUMBER(SEARCH("http",S30)),FALSE),"YES","NO")</x:f>
        <x:v>NO</x:v>
      </x:c>
      <x:c r="U30" s="10" t="str">
        <x:v>NO</x:v>
      </x:c>
      <x:c r="V30" s="10" t="str">
        <x:v>NO</x:v>
      </x:c>
      <x:c r="W30" s="10" t="str">
        <x:v>LEGACY_UNVERIFIED_SNAPSHOT: no immutable cutoff/model/source packet</x:v>
      </x:c>
      <x:c r="X30" s="10" t="str">
        <x:v>exact_complement_selection</x:v>
      </x:c>
    </x:row>
    <x:row r="31">
      <x:c r="A31" s="9" t="n">
        <x:v>27</x:v>
      </x:c>
      <x:c r="B31" s="9" t="str">
        <x:v>CRIC-20260614-NZW-WIW</x:v>
      </x:c>
      <x:c r="C31" s="25" t="str">
        <x:v>2026-06-14</x:v>
      </x:c>
      <x:c r="D31" s="9" t="str">
        <x:v>Cricket</x:v>
      </x:c>
      <x:c r="E31" s="9" t="str">
        <x:v>Cricket</x:v>
      </x:c>
      <x:c r="F31" s="10" t="str">
        <x:v>New Zealand Women vs West Indies Women</x:v>
      </x:c>
      <x:c r="G31" s="10" t="str">
        <x:v>ICC Women's T20 World Cup</x:v>
      </x:c>
      <x:c r="H31" s="10" t="str">
        <x:v>New Zealand innings 165.5 and first-6 45.5</x:v>
      </x:c>
      <x:c r="I31" s="9" t="n">
        <x:v>4</x:v>
      </x:c>
      <x:c r="J31" s="10" t="str">
        <x:v>NZ first-6 Under 45.5</x:v>
      </x:c>
      <x:c r="K31" s="9" t="str">
        <x:v>Under 45.5</x:v>
      </x:c>
      <x:c r="L31" s="23" t="n">
        <x:v>0.42</x:v>
      </x:c>
      <x:c r="M31" s="9" t="str">
        <x:v>L</x:v>
      </x:c>
      <x:c r="N31" s="9" t="n">
        <x:f>IF(M31="W",1,IF(M31="L",0,""))</x:f>
        <x:v>0</x:v>
      </x:c>
      <x:c r="O31" s="24" t="n">
        <x:f>IF(OR(M31="W",M31="L"),(L31-N31)^2,"")</x:f>
        <x:v>0.17639999999999997</x:v>
      </x:c>
      <x:c r="P31" s="9" t="str">
        <x:v>YES</x:v>
      </x:c>
      <x:c r="Q31" s="9" t="str">
        <x:v>30-49</x:v>
      </x:c>
      <x:c r="R31" s="9" t="str">
        <x:v>NO</x:v>
      </x:c>
      <x:c r="S31" s="10" t="str">
        <x:v>Cricbuzz scorecard correction 2026-06-16</x:v>
      </x:c>
      <x:c r="T31" s="10" t="str">
        <x:f>IF(IFERROR(ISNUMBER(SEARCH("http",S31)),FALSE),"YES","NO")</x:f>
        <x:v>NO</x:v>
      </x:c>
      <x:c r="U31" s="10" t="str">
        <x:v>NO</x:v>
      </x:c>
      <x:c r="V31" s="10" t="str">
        <x:v>NO</x:v>
      </x:c>
      <x:c r="W31" s="10" t="str">
        <x:v>LEGACY_UNVERIFIED_SNAPSHOT: no immutable cutoff/model/source packet</x:v>
      </x:c>
      <x:c r="X31" s="10" t="str">
        <x:v>exact_complement_selection</x:v>
      </x:c>
    </x:row>
    <x:row r="32">
      <x:c r="A32" s="9" t="n">
        <x:v>28</x:v>
      </x:c>
      <x:c r="B32" s="9" t="str">
        <x:v>SOC-20260614-QAT-SUI</x:v>
      </x:c>
      <x:c r="C32" s="25" t="str">
        <x:v>2026-06-14</x:v>
      </x:c>
      <x:c r="D32" s="9" t="str">
        <x:v>Soccer</x:v>
      </x:c>
      <x:c r="E32" s="9" t="str">
        <x:v>Soccer</x:v>
      </x:c>
      <x:c r="F32" s="10" t="str">
        <x:v>Qatar vs Switzerland</x:v>
      </x:c>
      <x:c r="G32" s="10" t="str">
        <x:v>FIFA World Cup Group B</x:v>
      </x:c>
      <x:c r="H32" s="10" t="str">
        <x:v>1H goals 0.5 and full-time goals 2.5</x:v>
      </x:c>
      <x:c r="I32" s="9" t="n">
        <x:v>1</x:v>
      </x:c>
      <x:c r="J32" s="10" t="str">
        <x:v>Total Under 2.5</x:v>
      </x:c>
      <x:c r="K32" s="9" t="str">
        <x:v>Under 2.5</x:v>
      </x:c>
      <x:c r="L32" s="23" t="n">
        <x:v>0.57</x:v>
      </x:c>
      <x:c r="M32" s="9" t="str">
        <x:v>W</x:v>
      </x:c>
      <x:c r="N32" s="9" t="n">
        <x:f>IF(M32="W",1,IF(M32="L",0,""))</x:f>
        <x:v>1</x:v>
      </x:c>
      <x:c r="O32" s="24" t="n">
        <x:f>IF(OR(M32="W",M32="L"),(L32-N32)^2,"")</x:f>
        <x:v>0.18490000000000004</x:v>
      </x:c>
      <x:c r="P32" s="9" t="str">
        <x:v>YES</x:v>
      </x:c>
      <x:c r="Q32" s="9" t="str">
        <x:v>50-59</x:v>
      </x:c>
      <x:c r="R32" s="9" t="str">
        <x:v>NO</x:v>
      </x:c>
      <x:c r="S32" s="10" t="str">
        <x:v>Guardian live/final 2026-06-14</x:v>
      </x:c>
      <x:c r="T32" s="10" t="str">
        <x:f>IF(IFERROR(ISNUMBER(SEARCH("http",S32)),FALSE),"YES","NO")</x:f>
        <x:v>NO</x:v>
      </x:c>
      <x:c r="U32" s="10" t="str">
        <x:v>NO</x:v>
      </x:c>
      <x:c r="V32" s="10" t="str">
        <x:v>NO</x:v>
      </x:c>
      <x:c r="W32" s="10" t="str">
        <x:v>LEGACY_UNVERIFIED_SNAPSHOT: no immutable cutoff/model/source packet</x:v>
      </x:c>
      <x:c r="X32" s="10" t="str">
        <x:v>exact_complement_selection</x:v>
      </x:c>
    </x:row>
    <x:row r="33">
      <x:c r="A33" s="9" t="n">
        <x:v>29</x:v>
      </x:c>
      <x:c r="B33" s="9" t="str">
        <x:v>SOC-20260614-QAT-SUI</x:v>
      </x:c>
      <x:c r="C33" s="25" t="str">
        <x:v>2026-06-14</x:v>
      </x:c>
      <x:c r="D33" s="9" t="str">
        <x:v>Soccer</x:v>
      </x:c>
      <x:c r="E33" s="9" t="str">
        <x:v>Soccer</x:v>
      </x:c>
      <x:c r="F33" s="10" t="str">
        <x:v>Qatar vs Switzerland</x:v>
      </x:c>
      <x:c r="G33" s="10" t="str">
        <x:v>FIFA World Cup Group B</x:v>
      </x:c>
      <x:c r="H33" s="10" t="str">
        <x:v>1H goals 0.5 and full-time goals 2.5</x:v>
      </x:c>
      <x:c r="I33" s="9" t="n">
        <x:v>2</x:v>
      </x:c>
      <x:c r="J33" s="10" t="str">
        <x:v>1H Over 0.5</x:v>
      </x:c>
      <x:c r="K33" s="9" t="str">
        <x:v>Over 0.5</x:v>
      </x:c>
      <x:c r="L33" s="23" t="n">
        <x:v>0.55</x:v>
      </x:c>
      <x:c r="M33" s="9" t="str">
        <x:v>W</x:v>
      </x:c>
      <x:c r="N33" s="9" t="n">
        <x:f>IF(M33="W",1,IF(M33="L",0,""))</x:f>
        <x:v>1</x:v>
      </x:c>
      <x:c r="O33" s="24" t="n">
        <x:f>IF(OR(M33="W",M33="L"),(L33-N33)^2,"")</x:f>
        <x:v>0.20249999999999996</x:v>
      </x:c>
      <x:c r="P33" s="9" t="str">
        <x:v>YES</x:v>
      </x:c>
      <x:c r="Q33" s="9" t="str">
        <x:v>50-59</x:v>
      </x:c>
      <x:c r="R33" s="9" t="str">
        <x:v>NO</x:v>
      </x:c>
      <x:c r="S33" s="10" t="str">
        <x:v>Guardian live/final 2026-06-14</x:v>
      </x:c>
      <x:c r="T33" s="10" t="str">
        <x:f>IF(IFERROR(ISNUMBER(SEARCH("http",S33)),FALSE),"YES","NO")</x:f>
        <x:v>NO</x:v>
      </x:c>
      <x:c r="U33" s="10" t="str">
        <x:v>NO</x:v>
      </x:c>
      <x:c r="V33" s="10" t="str">
        <x:v>NO</x:v>
      </x:c>
      <x:c r="W33" s="10" t="str">
        <x:v>LEGACY_UNVERIFIED_SNAPSHOT: no immutable cutoff/model/source packet</x:v>
      </x:c>
      <x:c r="X33" s="10" t="str">
        <x:v>exact_complement_selection</x:v>
      </x:c>
    </x:row>
    <x:row r="34">
      <x:c r="A34" s="9" t="n">
        <x:v>30</x:v>
      </x:c>
      <x:c r="B34" s="9" t="str">
        <x:v>SOC-20260614-QAT-SUI</x:v>
      </x:c>
      <x:c r="C34" s="25" t="str">
        <x:v>2026-06-14</x:v>
      </x:c>
      <x:c r="D34" s="9" t="str">
        <x:v>Soccer</x:v>
      </x:c>
      <x:c r="E34" s="9" t="str">
        <x:v>Soccer</x:v>
      </x:c>
      <x:c r="F34" s="10" t="str">
        <x:v>Qatar vs Switzerland</x:v>
      </x:c>
      <x:c r="G34" s="10" t="str">
        <x:v>FIFA World Cup Group B</x:v>
      </x:c>
      <x:c r="H34" s="10" t="str">
        <x:v>1H goals 0.5 and full-time goals 2.5</x:v>
      </x:c>
      <x:c r="I34" s="9" t="n">
        <x:v>3</x:v>
      </x:c>
      <x:c r="J34" s="10" t="str">
        <x:v>1H Under 0.5</x:v>
      </x:c>
      <x:c r="K34" s="9" t="str">
        <x:v>Under 0.5</x:v>
      </x:c>
      <x:c r="L34" s="23" t="n">
        <x:v>0.45</x:v>
      </x:c>
      <x:c r="M34" s="9" t="str">
        <x:v>L</x:v>
      </x:c>
      <x:c r="N34" s="9" t="n">
        <x:f>IF(M34="W",1,IF(M34="L",0,""))</x:f>
        <x:v>0</x:v>
      </x:c>
      <x:c r="O34" s="24" t="n">
        <x:f>IF(OR(M34="W",M34="L"),(L34-N34)^2,"")</x:f>
        <x:v>0.2025</x:v>
      </x:c>
      <x:c r="P34" s="9" t="str">
        <x:v>YES</x:v>
      </x:c>
      <x:c r="Q34" s="9" t="str">
        <x:v>40-49</x:v>
      </x:c>
      <x:c r="R34" s="9" t="str">
        <x:v>NO</x:v>
      </x:c>
      <x:c r="S34" s="10" t="str">
        <x:v>Guardian live/final 2026-06-14</x:v>
      </x:c>
      <x:c r="T34" s="10" t="str">
        <x:f>IF(IFERROR(ISNUMBER(SEARCH("http",S34)),FALSE),"YES","NO")</x:f>
        <x:v>NO</x:v>
      </x:c>
      <x:c r="U34" s="10" t="str">
        <x:v>NO</x:v>
      </x:c>
      <x:c r="V34" s="10" t="str">
        <x:v>NO</x:v>
      </x:c>
      <x:c r="W34" s="10" t="str">
        <x:v>LEGACY_UNVERIFIED_SNAPSHOT: no immutable cutoff/model/source packet</x:v>
      </x:c>
      <x:c r="X34" s="10" t="str">
        <x:v>exact_complement_selection</x:v>
      </x:c>
    </x:row>
    <x:row r="35">
      <x:c r="A35" s="9" t="n">
        <x:v>31</x:v>
      </x:c>
      <x:c r="B35" s="9" t="str">
        <x:v>SOC-20260614-QAT-SUI</x:v>
      </x:c>
      <x:c r="C35" s="25" t="str">
        <x:v>2026-06-14</x:v>
      </x:c>
      <x:c r="D35" s="9" t="str">
        <x:v>Soccer</x:v>
      </x:c>
      <x:c r="E35" s="9" t="str">
        <x:v>Soccer</x:v>
      </x:c>
      <x:c r="F35" s="10" t="str">
        <x:v>Qatar vs Switzerland</x:v>
      </x:c>
      <x:c r="G35" s="10" t="str">
        <x:v>FIFA World Cup Group B</x:v>
      </x:c>
      <x:c r="H35" s="10" t="str">
        <x:v>1H goals 0.5 and full-time goals 2.5</x:v>
      </x:c>
      <x:c r="I35" s="9" t="n">
        <x:v>4</x:v>
      </x:c>
      <x:c r="J35" s="10" t="str">
        <x:v>Total Over 2.5</x:v>
      </x:c>
      <x:c r="K35" s="9" t="str">
        <x:v>Over 2.5</x:v>
      </x:c>
      <x:c r="L35" s="23" t="n">
        <x:v>0.43</x:v>
      </x:c>
      <x:c r="M35" s="9" t="str">
        <x:v>L</x:v>
      </x:c>
      <x:c r="N35" s="9" t="n">
        <x:f>IF(M35="W",1,IF(M35="L",0,""))</x:f>
        <x:v>0</x:v>
      </x:c>
      <x:c r="O35" s="24" t="n">
        <x:f>IF(OR(M35="W",M35="L"),(L35-N35)^2,"")</x:f>
        <x:v>0.18489999999999998</x:v>
      </x:c>
      <x:c r="P35" s="9" t="str">
        <x:v>YES</x:v>
      </x:c>
      <x:c r="Q35" s="9" t="str">
        <x:v>40-49</x:v>
      </x:c>
      <x:c r="R35" s="9" t="str">
        <x:v>NO</x:v>
      </x:c>
      <x:c r="S35" s="10" t="str">
        <x:v>Guardian live/final 2026-06-14</x:v>
      </x:c>
      <x:c r="T35" s="10" t="str">
        <x:f>IF(IFERROR(ISNUMBER(SEARCH("http",S35)),FALSE),"YES","NO")</x:f>
        <x:v>NO</x:v>
      </x:c>
      <x:c r="U35" s="10" t="str">
        <x:v>NO</x:v>
      </x:c>
      <x:c r="V35" s="10" t="str">
        <x:v>NO</x:v>
      </x:c>
      <x:c r="W35" s="10" t="str">
        <x:v>LEGACY_UNVERIFIED_SNAPSHOT: no immutable cutoff/model/source packet</x:v>
      </x:c>
      <x:c r="X35" s="10" t="str">
        <x:v>exact_complement_selection</x:v>
      </x:c>
    </x:row>
    <x:row r="36">
      <x:c r="A36" s="9" t="n">
        <x:v>32</x:v>
      </x:c>
      <x:c r="B36" s="9" t="str">
        <x:v>BKB-20260613-ZAL-JUV</x:v>
      </x:c>
      <x:c r="C36" s="25" t="str">
        <x:v>2026-06-13</x:v>
      </x:c>
      <x:c r="D36" s="9" t="str">
        <x:v>Basketball</x:v>
      </x:c>
      <x:c r="E36" s="9" t="str">
        <x:v>Basketball</x:v>
      </x:c>
      <x:c r="F36" s="10" t="str">
        <x:v>Zalgiris Kaunas vs Juventus Utena</x:v>
      </x:c>
      <x:c r="G36" s="10" t="str">
        <x:v>Lithuania LKL Finals G3</x:v>
      </x:c>
      <x:c r="H36" s="10" t="str">
        <x:v>Spread 23.0 full 177.5 Q1 44.5 1H 89.5</x:v>
      </x:c>
      <x:c r="I36" s="9" t="n">
        <x:v>1</x:v>
      </x:c>
      <x:c r="J36" s="10" t="str">
        <x:v>1H Under 89.5</x:v>
      </x:c>
      <x:c r="K36" s="9" t="str">
        <x:v>Under 89.5</x:v>
      </x:c>
      <x:c r="L36" s="23" t="n">
        <x:v>0.7</x:v>
      </x:c>
      <x:c r="M36" s="9" t="str">
        <x:v>W</x:v>
      </x:c>
      <x:c r="N36" s="9" t="n">
        <x:f>IF(M36="W",1,IF(M36="L",0,""))</x:f>
        <x:v>1</x:v>
      </x:c>
      <x:c r="O36" s="24" t="n">
        <x:f>IF(OR(M36="W",M36="L"),(L36-N36)^2,"")</x:f>
        <x:v>0.09000000000000002</x:v>
      </x:c>
      <x:c r="P36" s="9" t="str">
        <x:v>YES</x:v>
      </x:c>
      <x:c r="Q36" s="9" t="str">
        <x:v>60-69</x:v>
      </x:c>
      <x:c r="R36" s="9" t="str">
        <x:v>YES</x:v>
      </x:c>
      <x:c r="S36" s="10" t="str">
        <x:v>Sofascore 2026-06-14; official LKL</x:v>
      </x:c>
      <x:c r="T36" s="10" t="str">
        <x:f>IF(IFERROR(ISNUMBER(SEARCH("http",S36)),FALSE),"YES","NO")</x:f>
        <x:v>NO</x:v>
      </x:c>
      <x:c r="U36" s="10" t="str">
        <x:v>NO</x:v>
      </x:c>
      <x:c r="V36" s="10" t="str">
        <x:v>NO</x:v>
      </x:c>
      <x:c r="W36" s="10" t="str">
        <x:v>LEGACY_UNVERIFIED_SNAPSHOT: no immutable cutoff/model/source packet</x:v>
      </x:c>
      <x:c r="X36" s="10" t="str">
        <x:v>exact_complement_selection</x:v>
      </x:c>
    </x:row>
    <x:row r="37">
      <x:c r="A37" s="9" t="n">
        <x:v>33</x:v>
      </x:c>
      <x:c r="B37" s="9" t="str">
        <x:v>BKB-20260613-ZAL-JUV</x:v>
      </x:c>
      <x:c r="C37" s="25" t="str">
        <x:v>2026-06-13</x:v>
      </x:c>
      <x:c r="D37" s="9" t="str">
        <x:v>Basketball</x:v>
      </x:c>
      <x:c r="E37" s="9" t="str">
        <x:v>Basketball</x:v>
      </x:c>
      <x:c r="F37" s="10" t="str">
        <x:v>Zalgiris Kaunas vs Juventus Utena</x:v>
      </x:c>
      <x:c r="G37" s="10" t="str">
        <x:v>Lithuania LKL Finals G3</x:v>
      </x:c>
      <x:c r="H37" s="10" t="str">
        <x:v>Spread 23.0 full 177.5 Q1 44.5 1H 89.5</x:v>
      </x:c>
      <x:c r="I37" s="9" t="n">
        <x:v>2</x:v>
      </x:c>
      <x:c r="J37" s="10" t="str">
        <x:v>Q1 Under 44.5</x:v>
      </x:c>
      <x:c r="K37" s="9" t="str">
        <x:v>Under 44.5</x:v>
      </x:c>
      <x:c r="L37" s="23" t="n">
        <x:v>0.65</x:v>
      </x:c>
      <x:c r="M37" s="9" t="str">
        <x:v>L</x:v>
      </x:c>
      <x:c r="N37" s="9" t="n">
        <x:f>IF(M37="W",1,IF(M37="L",0,""))</x:f>
        <x:v>0</x:v>
      </x:c>
      <x:c r="O37" s="24" t="n">
        <x:f>IF(OR(M37="W",M37="L"),(L37-N37)^2,"")</x:f>
        <x:v>0.42250000000000004</x:v>
      </x:c>
      <x:c r="P37" s="9" t="str">
        <x:v>YES</x:v>
      </x:c>
      <x:c r="Q37" s="9" t="str">
        <x:v>60-69</x:v>
      </x:c>
      <x:c r="R37" s="9" t="str">
        <x:v>NO</x:v>
      </x:c>
      <x:c r="S37" s="10" t="str">
        <x:v>Sofascore 2026-06-14; official LKL</x:v>
      </x:c>
      <x:c r="T37" s="10" t="str">
        <x:f>IF(IFERROR(ISNUMBER(SEARCH("http",S37)),FALSE),"YES","NO")</x:f>
        <x:v>NO</x:v>
      </x:c>
      <x:c r="U37" s="10" t="str">
        <x:v>NO</x:v>
      </x:c>
      <x:c r="V37" s="10" t="str">
        <x:v>NO</x:v>
      </x:c>
      <x:c r="W37" s="10" t="str">
        <x:v>LEGACY_UNVERIFIED_SNAPSHOT: no immutable cutoff/model/source packet</x:v>
      </x:c>
      <x:c r="X37" s="10" t="str">
        <x:v>projection_error; exact_complement_selection</x:v>
      </x:c>
    </x:row>
    <x:row r="38">
      <x:c r="A38" s="9" t="n">
        <x:v>34</x:v>
      </x:c>
      <x:c r="B38" s="9" t="str">
        <x:v>BKB-20260613-ZAL-JUV</x:v>
      </x:c>
      <x:c r="C38" s="25" t="str">
        <x:v>2026-06-13</x:v>
      </x:c>
      <x:c r="D38" s="9" t="str">
        <x:v>Basketball</x:v>
      </x:c>
      <x:c r="E38" s="9" t="str">
        <x:v>Basketball</x:v>
      </x:c>
      <x:c r="F38" s="10" t="str">
        <x:v>Zalgiris Kaunas vs Juventus Utena</x:v>
      </x:c>
      <x:c r="G38" s="10" t="str">
        <x:v>Lithuania LKL Finals G3</x:v>
      </x:c>
      <x:c r="H38" s="10" t="str">
        <x:v>Spread 23.0 full 177.5 Q1 44.5 1H 89.5</x:v>
      </x:c>
      <x:c r="I38" s="9" t="n">
        <x:v>3</x:v>
      </x:c>
      <x:c r="J38" s="10" t="str">
        <x:v>Zalgiris -23.0</x:v>
      </x:c>
      <x:c r="K38" s="9" t="str">
        <x:v>Zalgiris -23.0</x:v>
      </x:c>
      <x:c r="L38" s="23" t="n">
        <x:v>0.62</x:v>
      </x:c>
      <x:c r="M38" s="9" t="str">
        <x:v>L</x:v>
      </x:c>
      <x:c r="N38" s="9" t="n">
        <x:f>IF(M38="W",1,IF(M38="L",0,""))</x:f>
        <x:v>0</x:v>
      </x:c>
      <x:c r="O38" s="24" t="n">
        <x:f>IF(OR(M38="W",M38="L"),(L38-N38)^2,"")</x:f>
        <x:v>0.3844</x:v>
      </x:c>
      <x:c r="P38" s="9" t="str">
        <x:v>YES</x:v>
      </x:c>
      <x:c r="Q38" s="9" t="str">
        <x:v>60-69</x:v>
      </x:c>
      <x:c r="R38" s="9" t="str">
        <x:v>NO</x:v>
      </x:c>
      <x:c r="S38" s="10" t="str">
        <x:v>official LKL 2026-06-13</x:v>
      </x:c>
      <x:c r="T38" s="10" t="str">
        <x:f>IF(IFERROR(ISNUMBER(SEARCH("http",S38)),FALSE),"YES","NO")</x:f>
        <x:v>NO</x:v>
      </x:c>
      <x:c r="U38" s="10" t="str">
        <x:v>YES</x:v>
      </x:c>
      <x:c r="V38" s="10" t="str">
        <x:v>NO</x:v>
      </x:c>
      <x:c r="W38" s="10" t="str">
        <x:v>LEGACY_UNVERIFIED_SNAPSHOT: no immutable cutoff/model/source packet</x:v>
      </x:c>
      <x:c r="X38" s="10" t="str">
        <x:v>projection_error; potential_post_event_input_text; exact_complement_selection</x:v>
      </x:c>
    </x:row>
    <x:row r="39">
      <x:c r="A39" s="9" t="n">
        <x:v>35</x:v>
      </x:c>
      <x:c r="B39" s="9" t="str">
        <x:v>BKB-20260613-ZAL-JUV</x:v>
      </x:c>
      <x:c r="C39" s="25" t="str">
        <x:v>2026-06-13</x:v>
      </x:c>
      <x:c r="D39" s="9" t="str">
        <x:v>Basketball</x:v>
      </x:c>
      <x:c r="E39" s="9" t="str">
        <x:v>Basketball</x:v>
      </x:c>
      <x:c r="F39" s="10" t="str">
        <x:v>Zalgiris Kaunas vs Juventus Utena</x:v>
      </x:c>
      <x:c r="G39" s="10" t="str">
        <x:v>Lithuania LKL Finals G3</x:v>
      </x:c>
      <x:c r="H39" s="10" t="str">
        <x:v>Spread 23.0 full 177.5 Q1 44.5 1H 89.5</x:v>
      </x:c>
      <x:c r="I39" s="9" t="n">
        <x:v>4</x:v>
      </x:c>
      <x:c r="J39" s="10" t="str">
        <x:v>Full Under 177.5</x:v>
      </x:c>
      <x:c r="K39" s="9" t="str">
        <x:v>Under 177.5</x:v>
      </x:c>
      <x:c r="L39" s="23" t="n">
        <x:v>0.58</x:v>
      </x:c>
      <x:c r="M39" s="9" t="str">
        <x:v>W</x:v>
      </x:c>
      <x:c r="N39" s="9" t="n">
        <x:f>IF(M39="W",1,IF(M39="L",0,""))</x:f>
        <x:v>1</x:v>
      </x:c>
      <x:c r="O39" s="24" t="n">
        <x:f>IF(OR(M39="W",M39="L"),(L39-N39)^2,"")</x:f>
        <x:v>0.17640000000000003</x:v>
      </x:c>
      <x:c r="P39" s="9" t="str">
        <x:v>YES</x:v>
      </x:c>
      <x:c r="Q39" s="9" t="str">
        <x:v>50-59</x:v>
      </x:c>
      <x:c r="R39" s="9" t="str">
        <x:v>NO</x:v>
      </x:c>
      <x:c r="S39" s="10" t="str">
        <x:v>official LKL 2026-06-13</x:v>
      </x:c>
      <x:c r="T39" s="10" t="str">
        <x:f>IF(IFERROR(ISNUMBER(SEARCH("http",S39)),FALSE),"YES","NO")</x:f>
        <x:v>NO</x:v>
      </x:c>
      <x:c r="U39" s="10" t="str">
        <x:v>NO</x:v>
      </x:c>
      <x:c r="V39" s="10" t="str">
        <x:v>NO</x:v>
      </x:c>
      <x:c r="W39" s="10" t="str">
        <x:v>LEGACY_UNVERIFIED_SNAPSHOT: no immutable cutoff/model/source packet</x:v>
      </x:c>
      <x:c r="X39" s="10" t="str">
        <x:v>exact_complement_selection</x:v>
      </x:c>
    </x:row>
    <x:row r="40">
      <x:c r="A40" s="9" t="n">
        <x:v>36</x:v>
      </x:c>
      <x:c r="B40" s="9" t="str">
        <x:v>BKB-20260613-ZAL-JUV</x:v>
      </x:c>
      <x:c r="C40" s="25" t="str">
        <x:v>2026-06-13</x:v>
      </x:c>
      <x:c r="D40" s="9" t="str">
        <x:v>Basketball</x:v>
      </x:c>
      <x:c r="E40" s="9" t="str">
        <x:v>Basketball</x:v>
      </x:c>
      <x:c r="F40" s="10" t="str">
        <x:v>Zalgiris Kaunas vs Juventus Utena</x:v>
      </x:c>
      <x:c r="G40" s="10" t="str">
        <x:v>Lithuania LKL Finals G3</x:v>
      </x:c>
      <x:c r="H40" s="10" t="str">
        <x:v>Spread 23.0 full 177.5 Q1 44.5 1H 89.5</x:v>
      </x:c>
      <x:c r="I40" s="9" t="n">
        <x:v>5</x:v>
      </x:c>
      <x:c r="J40" s="10" t="str">
        <x:v>Full Over 177.5</x:v>
      </x:c>
      <x:c r="K40" s="9" t="str">
        <x:v>Over 177.5</x:v>
      </x:c>
      <x:c r="L40" s="23" t="n">
        <x:v>0.42</x:v>
      </x:c>
      <x:c r="M40" s="9" t="str">
        <x:v>L</x:v>
      </x:c>
      <x:c r="N40" s="9" t="n">
        <x:f>IF(M40="W",1,IF(M40="L",0,""))</x:f>
        <x:v>0</x:v>
      </x:c>
      <x:c r="O40" s="24" t="n">
        <x:f>IF(OR(M40="W",M40="L"),(L40-N40)^2,"")</x:f>
        <x:v>0.17639999999999997</x:v>
      </x:c>
      <x:c r="P40" s="9" t="str">
        <x:v>YES</x:v>
      </x:c>
      <x:c r="Q40" s="9" t="str">
        <x:v>40-49</x:v>
      </x:c>
      <x:c r="R40" s="9" t="str">
        <x:v>NO</x:v>
      </x:c>
      <x:c r="S40" s="10" t="str">
        <x:v>official LKL 2026-06-13</x:v>
      </x:c>
      <x:c r="T40" s="10" t="str">
        <x:f>IF(IFERROR(ISNUMBER(SEARCH("http",S40)),FALSE),"YES","NO")</x:f>
        <x:v>NO</x:v>
      </x:c>
      <x:c r="U40" s="10" t="str">
        <x:v>NO</x:v>
      </x:c>
      <x:c r="V40" s="10" t="str">
        <x:v>NO</x:v>
      </x:c>
      <x:c r="W40" s="10" t="str">
        <x:v>LEGACY_UNVERIFIED_SNAPSHOT: no immutable cutoff/model/source packet</x:v>
      </x:c>
      <x:c r="X40" s="10" t="str">
        <x:v>exact_complement_selection</x:v>
      </x:c>
    </x:row>
    <x:row r="41">
      <x:c r="A41" s="9" t="n">
        <x:v>37</x:v>
      </x:c>
      <x:c r="B41" s="9" t="str">
        <x:v>BKB-20260613-ZAL-JUV</x:v>
      </x:c>
      <x:c r="C41" s="25" t="str">
        <x:v>2026-06-13</x:v>
      </x:c>
      <x:c r="D41" s="9" t="str">
        <x:v>Basketball</x:v>
      </x:c>
      <x:c r="E41" s="9" t="str">
        <x:v>Basketball</x:v>
      </x:c>
      <x:c r="F41" s="10" t="str">
        <x:v>Zalgiris Kaunas vs Juventus Utena</x:v>
      </x:c>
      <x:c r="G41" s="10" t="str">
        <x:v>Lithuania LKL Finals G3</x:v>
      </x:c>
      <x:c r="H41" s="10" t="str">
        <x:v>Spread 23.0 full 177.5 Q1 44.5 1H 89.5</x:v>
      </x:c>
      <x:c r="I41" s="9" t="n">
        <x:v>6</x:v>
      </x:c>
      <x:c r="J41" s="10" t="str">
        <x:v>Juventus +23.0</x:v>
      </x:c>
      <x:c r="K41" s="9" t="str">
        <x:v>Juventus +23.0</x:v>
      </x:c>
      <x:c r="L41" s="23" t="n">
        <x:v>0.38</x:v>
      </x:c>
      <x:c r="M41" s="9" t="str">
        <x:v>W</x:v>
      </x:c>
      <x:c r="N41" s="9" t="n">
        <x:f>IF(M41="W",1,IF(M41="L",0,""))</x:f>
        <x:v>1</x:v>
      </x:c>
      <x:c r="O41" s="24" t="n">
        <x:f>IF(OR(M41="W",M41="L"),(L41-N41)^2,"")</x:f>
        <x:v>0.3844</x:v>
      </x:c>
      <x:c r="P41" s="9" t="str">
        <x:v>YES</x:v>
      </x:c>
      <x:c r="Q41" s="9" t="str">
        <x:v>30-39</x:v>
      </x:c>
      <x:c r="R41" s="9" t="str">
        <x:v>NO</x:v>
      </x:c>
      <x:c r="S41" s="10" t="str">
        <x:v>official LKL 2026-06-13</x:v>
      </x:c>
      <x:c r="T41" s="10" t="str">
        <x:f>IF(IFERROR(ISNUMBER(SEARCH("http",S41)),FALSE),"YES","NO")</x:f>
        <x:v>NO</x:v>
      </x:c>
      <x:c r="U41" s="10" t="str">
        <x:v>NO</x:v>
      </x:c>
      <x:c r="V41" s="10" t="str">
        <x:v>NO</x:v>
      </x:c>
      <x:c r="W41" s="10" t="str">
        <x:v>LEGACY_UNVERIFIED_SNAPSHOT: no immutable cutoff/model/source packet</x:v>
      </x:c>
      <x:c r="X41" s="10" t="str">
        <x:v>exact_complement_selection</x:v>
      </x:c>
    </x:row>
    <x:row r="42">
      <x:c r="A42" s="9" t="n">
        <x:v>38</x:v>
      </x:c>
      <x:c r="B42" s="9" t="str">
        <x:v>BKB-20260613-ZAL-JUV</x:v>
      </x:c>
      <x:c r="C42" s="25" t="str">
        <x:v>2026-06-13</x:v>
      </x:c>
      <x:c r="D42" s="9" t="str">
        <x:v>Basketball</x:v>
      </x:c>
      <x:c r="E42" s="9" t="str">
        <x:v>Basketball</x:v>
      </x:c>
      <x:c r="F42" s="10" t="str">
        <x:v>Zalgiris Kaunas vs Juventus Utena</x:v>
      </x:c>
      <x:c r="G42" s="10" t="str">
        <x:v>Lithuania LKL Finals G3</x:v>
      </x:c>
      <x:c r="H42" s="10" t="str">
        <x:v>Spread 23.0 full 177.5 Q1 44.5 1H 89.5</x:v>
      </x:c>
      <x:c r="I42" s="9" t="n">
        <x:v>7</x:v>
      </x:c>
      <x:c r="J42" s="10" t="str">
        <x:v>Q1 Over 44.5</x:v>
      </x:c>
      <x:c r="K42" s="9" t="str">
        <x:v>Over 44.5</x:v>
      </x:c>
      <x:c r="L42" s="23" t="n">
        <x:v>0.35</x:v>
      </x:c>
      <x:c r="M42" s="9" t="str">
        <x:v>W</x:v>
      </x:c>
      <x:c r="N42" s="9" t="n">
        <x:f>IF(M42="W",1,IF(M42="L",0,""))</x:f>
        <x:v>1</x:v>
      </x:c>
      <x:c r="O42" s="24" t="n">
        <x:f>IF(OR(M42="W",M42="L"),(L42-N42)^2,"")</x:f>
        <x:v>0.42250000000000004</x:v>
      </x:c>
      <x:c r="P42" s="9" t="str">
        <x:v>YES</x:v>
      </x:c>
      <x:c r="Q42" s="9" t="str">
        <x:v>30-39</x:v>
      </x:c>
      <x:c r="R42" s="9" t="str">
        <x:v>NO</x:v>
      </x:c>
      <x:c r="S42" s="10" t="str">
        <x:v>Sofascore 2026-06-14</x:v>
      </x:c>
      <x:c r="T42" s="10" t="str">
        <x:f>IF(IFERROR(ISNUMBER(SEARCH("http",S42)),FALSE),"YES","NO")</x:f>
        <x:v>NO</x:v>
      </x:c>
      <x:c r="U42" s="10" t="str">
        <x:v>NO</x:v>
      </x:c>
      <x:c r="V42" s="10" t="str">
        <x:v>NO</x:v>
      </x:c>
      <x:c r="W42" s="10" t="str">
        <x:v>LEGACY_UNVERIFIED_SNAPSHOT: no immutable cutoff/model/source packet</x:v>
      </x:c>
      <x:c r="X42" s="10" t="str">
        <x:v>projection_error; exact_complement_selection</x:v>
      </x:c>
    </x:row>
    <x:row r="43">
      <x:c r="A43" s="9" t="n">
        <x:v>39</x:v>
      </x:c>
      <x:c r="B43" s="9" t="str">
        <x:v>BKB-20260613-ZAL-JUV</x:v>
      </x:c>
      <x:c r="C43" s="25" t="str">
        <x:v>2026-06-13</x:v>
      </x:c>
      <x:c r="D43" s="9" t="str">
        <x:v>Basketball</x:v>
      </x:c>
      <x:c r="E43" s="9" t="str">
        <x:v>Basketball</x:v>
      </x:c>
      <x:c r="F43" s="10" t="str">
        <x:v>Zalgiris Kaunas vs Juventus Utena</x:v>
      </x:c>
      <x:c r="G43" s="10" t="str">
        <x:v>Lithuania LKL Finals G3</x:v>
      </x:c>
      <x:c r="H43" s="10" t="str">
        <x:v>Spread 23.0 full 177.5 Q1 44.5 1H 89.5</x:v>
      </x:c>
      <x:c r="I43" s="9" t="n">
        <x:v>8</x:v>
      </x:c>
      <x:c r="J43" s="10" t="str">
        <x:v>1H Over 89.5</x:v>
      </x:c>
      <x:c r="K43" s="9" t="str">
        <x:v>Over 89.5</x:v>
      </x:c>
      <x:c r="L43" s="23" t="n">
        <x:v>0.3</x:v>
      </x:c>
      <x:c r="M43" s="9" t="str">
        <x:v>L</x:v>
      </x:c>
      <x:c r="N43" s="9" t="n">
        <x:f>IF(M43="W",1,IF(M43="L",0,""))</x:f>
        <x:v>0</x:v>
      </x:c>
      <x:c r="O43" s="24" t="n">
        <x:f>IF(OR(M43="W",M43="L"),(L43-N43)^2,"")</x:f>
        <x:v>0.09</x:v>
      </x:c>
      <x:c r="P43" s="9" t="str">
        <x:v>YES</x:v>
      </x:c>
      <x:c r="Q43" s="9" t="str">
        <x:v>30-39</x:v>
      </x:c>
      <x:c r="R43" s="9" t="str">
        <x:v>NO</x:v>
      </x:c>
      <x:c r="S43" s="10" t="str">
        <x:v>Sofascore 2026-06-14</x:v>
      </x:c>
      <x:c r="T43" s="10" t="str">
        <x:f>IF(IFERROR(ISNUMBER(SEARCH("http",S43)),FALSE),"YES","NO")</x:f>
        <x:v>NO</x:v>
      </x:c>
      <x:c r="U43" s="10" t="str">
        <x:v>NO</x:v>
      </x:c>
      <x:c r="V43" s="10" t="str">
        <x:v>NO</x:v>
      </x:c>
      <x:c r="W43" s="10" t="str">
        <x:v>LEGACY_UNVERIFIED_SNAPSHOT: no immutable cutoff/model/source packet</x:v>
      </x:c>
      <x:c r="X43" s="10" t="str">
        <x:v>exact_complement_selection</x:v>
      </x:c>
    </x:row>
    <x:row r="44">
      <x:c r="A44" s="9" t="n">
        <x:v>40</x:v>
      </x:c>
      <x:c r="B44" s="9" t="str">
        <x:v>BKB-20260614-OLY-PAO</x:v>
      </x:c>
      <x:c r="C44" s="25" t="str">
        <x:v>2026-06-14</x:v>
      </x:c>
      <x:c r="D44" s="9" t="str">
        <x:v>Basketball</x:v>
      </x:c>
      <x:c r="E44" s="9" t="str">
        <x:v>Basketball</x:v>
      </x:c>
      <x:c r="F44" s="10" t="str">
        <x:v>Olympiacos vs Panathinaikos AKTOR</x:v>
      </x:c>
      <x:c r="G44" s="10" t="str">
        <x:v>Greek Basket League Finals G5</x:v>
      </x:c>
      <x:c r="H44" s="10" t="str">
        <x:v>Spread 6.5 full 162.5 Q1 40.5 1H 80.5</x:v>
      </x:c>
      <x:c r="I44" s="9" t="n">
        <x:v>1</x:v>
      </x:c>
      <x:c r="J44" s="10" t="str">
        <x:v>1H Under 80.5</x:v>
      </x:c>
      <x:c r="K44" s="9" t="str">
        <x:v>Under 80.5</x:v>
      </x:c>
      <x:c r="L44" s="23" t="n">
        <x:v>0.63</x:v>
      </x:c>
      <x:c r="M44" s="9" t="str">
        <x:v>L</x:v>
      </x:c>
      <x:c r="N44" s="9" t="n">
        <x:f>IF(M44="W",1,IF(M44="L",0,""))</x:f>
        <x:v>0</x:v>
      </x:c>
      <x:c r="O44" s="24" t="n">
        <x:f>IF(OR(M44="W",M44="L"),(L44-N44)^2,"")</x:f>
        <x:v>0.39690000000000003</x:v>
      </x:c>
      <x:c r="P44" s="9" t="str">
        <x:v>YES</x:v>
      </x:c>
      <x:c r="Q44" s="9" t="str">
        <x:v>60-69</x:v>
      </x:c>
      <x:c r="R44" s="9" t="str">
        <x:v>NO</x:v>
      </x:c>
      <x:c r="S44" s="10" t="str">
        <x:v>Eurohoops/Sportando 2026-06-14</x:v>
      </x:c>
      <x:c r="T44" s="10" t="str">
        <x:f>IF(IFERROR(ISNUMBER(SEARCH("http",S44)),FALSE),"YES","NO")</x:f>
        <x:v>NO</x:v>
      </x:c>
      <x:c r="U44" s="10" t="str">
        <x:v>NO</x:v>
      </x:c>
      <x:c r="V44" s="10" t="str">
        <x:v>NO</x:v>
      </x:c>
      <x:c r="W44" s="10" t="str">
        <x:v>LEGACY_UNVERIFIED_SNAPSHOT: no immutable cutoff/model/source packet</x:v>
      </x:c>
      <x:c r="X44" s="10" t="str">
        <x:v>projection_error; rank_error; ruleset_error; exact_complement_selection</x:v>
      </x:c>
    </x:row>
    <x:row r="45">
      <x:c r="A45" s="9" t="n">
        <x:v>41</x:v>
      </x:c>
      <x:c r="B45" s="9" t="str">
        <x:v>BKB-20260614-OLY-PAO</x:v>
      </x:c>
      <x:c r="C45" s="25" t="str">
        <x:v>2026-06-14</x:v>
      </x:c>
      <x:c r="D45" s="9" t="str">
        <x:v>Basketball</x:v>
      </x:c>
      <x:c r="E45" s="9" t="str">
        <x:v>Basketball</x:v>
      </x:c>
      <x:c r="F45" s="10" t="str">
        <x:v>Olympiacos vs Panathinaikos AKTOR</x:v>
      </x:c>
      <x:c r="G45" s="10" t="str">
        <x:v>Greek Basket League Finals G5</x:v>
      </x:c>
      <x:c r="H45" s="10" t="str">
        <x:v>Spread 6.5 full 162.5 Q1 40.5 1H 80.5</x:v>
      </x:c>
      <x:c r="I45" s="9" t="n">
        <x:v>2</x:v>
      </x:c>
      <x:c r="J45" s="10" t="str">
        <x:v>Q1 Under 40.5</x:v>
      </x:c>
      <x:c r="K45" s="9" t="str">
        <x:v>Under 40.5</x:v>
      </x:c>
      <x:c r="L45" s="23" t="n">
        <x:v>0.61</x:v>
      </x:c>
      <x:c r="M45" s="9" t="str">
        <x:v>L</x:v>
      </x:c>
      <x:c r="N45" s="9" t="n">
        <x:f>IF(M45="W",1,IF(M45="L",0,""))</x:f>
        <x:v>0</x:v>
      </x:c>
      <x:c r="O45" s="24" t="n">
        <x:f>IF(OR(M45="W",M45="L"),(L45-N45)^2,"")</x:f>
        <x:v>0.3721</x:v>
      </x:c>
      <x:c r="P45" s="9" t="str">
        <x:v>YES</x:v>
      </x:c>
      <x:c r="Q45" s="9" t="str">
        <x:v>60-69</x:v>
      </x:c>
      <x:c r="R45" s="9" t="str">
        <x:v>NO</x:v>
      </x:c>
      <x:c r="S45" s="10" t="str">
        <x:v>Eurohoops/Sportando 2026-06-14</x:v>
      </x:c>
      <x:c r="T45" s="10" t="str">
        <x:f>IF(IFERROR(ISNUMBER(SEARCH("http",S45)),FALSE),"YES","NO")</x:f>
        <x:v>NO</x:v>
      </x:c>
      <x:c r="U45" s="10" t="str">
        <x:v>NO</x:v>
      </x:c>
      <x:c r="V45" s="10" t="str">
        <x:v>NO</x:v>
      </x:c>
      <x:c r="W45" s="10" t="str">
        <x:v>LEGACY_UNVERIFIED_SNAPSHOT: no immutable cutoff/model/source packet</x:v>
      </x:c>
      <x:c r="X45" s="10" t="str">
        <x:v>projection_error; rank_error; exact_complement_selection</x:v>
      </x:c>
    </x:row>
    <x:row r="46">
      <x:c r="A46" s="9" t="n">
        <x:v>42</x:v>
      </x:c>
      <x:c r="B46" s="9" t="str">
        <x:v>BKB-20260614-OLY-PAO</x:v>
      </x:c>
      <x:c r="C46" s="25" t="str">
        <x:v>2026-06-14</x:v>
      </x:c>
      <x:c r="D46" s="9" t="str">
        <x:v>Basketball</x:v>
      </x:c>
      <x:c r="E46" s="9" t="str">
        <x:v>Basketball</x:v>
      </x:c>
      <x:c r="F46" s="10" t="str">
        <x:v>Olympiacos vs Panathinaikos AKTOR</x:v>
      </x:c>
      <x:c r="G46" s="10" t="str">
        <x:v>Greek Basket League Finals G5</x:v>
      </x:c>
      <x:c r="H46" s="10" t="str">
        <x:v>Spread 6.5 full 162.5 Q1 40.5 1H 80.5</x:v>
      </x:c>
      <x:c r="I46" s="9" t="n">
        <x:v>3</x:v>
      </x:c>
      <x:c r="J46" s="10" t="str">
        <x:v>Full Under 162.5</x:v>
      </x:c>
      <x:c r="K46" s="9" t="str">
        <x:v>Under 162.5</x:v>
      </x:c>
      <x:c r="L46" s="23" t="n">
        <x:v>0.57</x:v>
      </x:c>
      <x:c r="M46" s="9" t="str">
        <x:v>L</x:v>
      </x:c>
      <x:c r="N46" s="9" t="n">
        <x:f>IF(M46="W",1,IF(M46="L",0,""))</x:f>
        <x:v>0</x:v>
      </x:c>
      <x:c r="O46" s="24" t="n">
        <x:f>IF(OR(M46="W",M46="L"),(L46-N46)^2,"")</x:f>
        <x:v>0.32489999999999997</x:v>
      </x:c>
      <x:c r="P46" s="9" t="str">
        <x:v>YES</x:v>
      </x:c>
      <x:c r="Q46" s="9" t="str">
        <x:v>50-59</x:v>
      </x:c>
      <x:c r="R46" s="9" t="str">
        <x:v>NO</x:v>
      </x:c>
      <x:c r="S46" s="10" t="str">
        <x:v>Eurohoops/Sportando 2026-06-14</x:v>
      </x:c>
      <x:c r="T46" s="10" t="str">
        <x:f>IF(IFERROR(ISNUMBER(SEARCH("http",S46)),FALSE),"YES","NO")</x:f>
        <x:v>NO</x:v>
      </x:c>
      <x:c r="U46" s="10" t="str">
        <x:v>NO</x:v>
      </x:c>
      <x:c r="V46" s="10" t="str">
        <x:v>NO</x:v>
      </x:c>
      <x:c r="W46" s="10" t="str">
        <x:v>LEGACY_UNVERIFIED_SNAPSHOT: no immutable cutoff/model/source packet</x:v>
      </x:c>
      <x:c r="X46" s="10" t="str">
        <x:v>rank_error; exact_complement_selection</x:v>
      </x:c>
    </x:row>
    <x:row r="47">
      <x:c r="A47" s="9" t="n">
        <x:v>43</x:v>
      </x:c>
      <x:c r="B47" s="9" t="str">
        <x:v>BKB-20260614-OLY-PAO</x:v>
      </x:c>
      <x:c r="C47" s="25" t="str">
        <x:v>2026-06-14</x:v>
      </x:c>
      <x:c r="D47" s="9" t="str">
        <x:v>Basketball</x:v>
      </x:c>
      <x:c r="E47" s="9" t="str">
        <x:v>Basketball</x:v>
      </x:c>
      <x:c r="F47" s="10" t="str">
        <x:v>Olympiacos vs Panathinaikos AKTOR</x:v>
      </x:c>
      <x:c r="G47" s="10" t="str">
        <x:v>Greek Basket League Finals G5</x:v>
      </x:c>
      <x:c r="H47" s="10" t="str">
        <x:v>Spread 6.5 full 162.5 Q1 40.5 1H 80.5</x:v>
      </x:c>
      <x:c r="I47" s="9" t="n">
        <x:v>4</x:v>
      </x:c>
      <x:c r="J47" s="10" t="str">
        <x:v>Panathinaikos +6.5</x:v>
      </x:c>
      <x:c r="K47" s="9" t="str">
        <x:v>Panathinaikos +6.5</x:v>
      </x:c>
      <x:c r="L47" s="23" t="n">
        <x:v>0.55</x:v>
      </x:c>
      <x:c r="M47" s="9" t="str">
        <x:v>W</x:v>
      </x:c>
      <x:c r="N47" s="9" t="n">
        <x:f>IF(M47="W",1,IF(M47="L",0,""))</x:f>
        <x:v>1</x:v>
      </x:c>
      <x:c r="O47" s="24" t="n">
        <x:f>IF(OR(M47="W",M47="L"),(L47-N47)^2,"")</x:f>
        <x:v>0.20249999999999996</x:v>
      </x:c>
      <x:c r="P47" s="9" t="str">
        <x:v>YES</x:v>
      </x:c>
      <x:c r="Q47" s="9" t="str">
        <x:v>50-59</x:v>
      </x:c>
      <x:c r="R47" s="9" t="str">
        <x:v>NO</x:v>
      </x:c>
      <x:c r="S47" s="10" t="str">
        <x:v>AS/Eurohoops 2026-06-14</x:v>
      </x:c>
      <x:c r="T47" s="10" t="str">
        <x:f>IF(IFERROR(ISNUMBER(SEARCH("http",S47)),FALSE),"YES","NO")</x:f>
        <x:v>NO</x:v>
      </x:c>
      <x:c r="U47" s="10" t="str">
        <x:v>NO</x:v>
      </x:c>
      <x:c r="V47" s="10" t="str">
        <x:v>NO</x:v>
      </x:c>
      <x:c r="W47" s="10" t="str">
        <x:v>LEGACY_UNVERIFIED_SNAPSHOT: no immutable cutoff/model/source packet</x:v>
      </x:c>
      <x:c r="X47" s="10" t="str">
        <x:v>exact_complement_selection</x:v>
      </x:c>
    </x:row>
    <x:row r="48">
      <x:c r="A48" s="9" t="n">
        <x:v>44</x:v>
      </x:c>
      <x:c r="B48" s="9" t="str">
        <x:v>BKB-20260614-OLY-PAO</x:v>
      </x:c>
      <x:c r="C48" s="25" t="str">
        <x:v>2026-06-14</x:v>
      </x:c>
      <x:c r="D48" s="9" t="str">
        <x:v>Basketball</x:v>
      </x:c>
      <x:c r="E48" s="9" t="str">
        <x:v>Basketball</x:v>
      </x:c>
      <x:c r="F48" s="10" t="str">
        <x:v>Olympiacos vs Panathinaikos AKTOR</x:v>
      </x:c>
      <x:c r="G48" s="10" t="str">
        <x:v>Greek Basket League Finals G5</x:v>
      </x:c>
      <x:c r="H48" s="10" t="str">
        <x:v>Spread 6.5 full 162.5 Q1 40.5 1H 80.5</x:v>
      </x:c>
      <x:c r="I48" s="9" t="n">
        <x:v>5</x:v>
      </x:c>
      <x:c r="J48" s="10" t="str">
        <x:v>Olympiacos -6.5</x:v>
      </x:c>
      <x:c r="K48" s="9" t="str">
        <x:v>Olympiacos -6.5</x:v>
      </x:c>
      <x:c r="L48" s="23" t="n">
        <x:v>0.45</x:v>
      </x:c>
      <x:c r="M48" s="9" t="str">
        <x:v>L</x:v>
      </x:c>
      <x:c r="N48" s="9" t="n">
        <x:f>IF(M48="W",1,IF(M48="L",0,""))</x:f>
        <x:v>0</x:v>
      </x:c>
      <x:c r="O48" s="24" t="n">
        <x:f>IF(OR(M48="W",M48="L"),(L48-N48)^2,"")</x:f>
        <x:v>0.2025</x:v>
      </x:c>
      <x:c r="P48" s="9" t="str">
        <x:v>YES</x:v>
      </x:c>
      <x:c r="Q48" s="9" t="str">
        <x:v>40-49</x:v>
      </x:c>
      <x:c r="R48" s="9" t="str">
        <x:v>NO</x:v>
      </x:c>
      <x:c r="S48" s="10" t="str">
        <x:v>AS/Eurohoops 2026-06-14</x:v>
      </x:c>
      <x:c r="T48" s="10" t="str">
        <x:f>IF(IFERROR(ISNUMBER(SEARCH("http",S48)),FALSE),"YES","NO")</x:f>
        <x:v>NO</x:v>
      </x:c>
      <x:c r="U48" s="10" t="str">
        <x:v>NO</x:v>
      </x:c>
      <x:c r="V48" s="10" t="str">
        <x:v>NO</x:v>
      </x:c>
      <x:c r="W48" s="10" t="str">
        <x:v>LEGACY_UNVERIFIED_SNAPSHOT: no immutable cutoff/model/source packet</x:v>
      </x:c>
      <x:c r="X48" s="10" t="str">
        <x:v>exact_complement_selection</x:v>
      </x:c>
    </x:row>
    <x:row r="49">
      <x:c r="A49" s="9" t="n">
        <x:v>45</x:v>
      </x:c>
      <x:c r="B49" s="9" t="str">
        <x:v>BKB-20260614-OLY-PAO</x:v>
      </x:c>
      <x:c r="C49" s="25" t="str">
        <x:v>2026-06-14</x:v>
      </x:c>
      <x:c r="D49" s="9" t="str">
        <x:v>Basketball</x:v>
      </x:c>
      <x:c r="E49" s="9" t="str">
        <x:v>Basketball</x:v>
      </x:c>
      <x:c r="F49" s="10" t="str">
        <x:v>Olympiacos vs Panathinaikos AKTOR</x:v>
      </x:c>
      <x:c r="G49" s="10" t="str">
        <x:v>Greek Basket League Finals G5</x:v>
      </x:c>
      <x:c r="H49" s="10" t="str">
        <x:v>Spread 6.5 full 162.5 Q1 40.5 1H 80.5</x:v>
      </x:c>
      <x:c r="I49" s="9" t="n">
        <x:v>6</x:v>
      </x:c>
      <x:c r="J49" s="10" t="str">
        <x:v>Full Over 162.5</x:v>
      </x:c>
      <x:c r="K49" s="9" t="str">
        <x:v>Over 162.5</x:v>
      </x:c>
      <x:c r="L49" s="23" t="n">
        <x:v>0.43</x:v>
      </x:c>
      <x:c r="M49" s="9" t="str">
        <x:v>W</x:v>
      </x:c>
      <x:c r="N49" s="9" t="n">
        <x:f>IF(M49="W",1,IF(M49="L",0,""))</x:f>
        <x:v>1</x:v>
      </x:c>
      <x:c r="O49" s="24" t="n">
        <x:f>IF(OR(M49="W",M49="L"),(L49-N49)^2,"")</x:f>
        <x:v>0.3249000000000001</x:v>
      </x:c>
      <x:c r="P49" s="9" t="str">
        <x:v>YES</x:v>
      </x:c>
      <x:c r="Q49" s="9" t="str">
        <x:v>40-49</x:v>
      </x:c>
      <x:c r="R49" s="9" t="str">
        <x:v>NO</x:v>
      </x:c>
      <x:c r="S49" s="10" t="str">
        <x:v>Eurohoops/Sportando 2026-06-14</x:v>
      </x:c>
      <x:c r="T49" s="10" t="str">
        <x:f>IF(IFERROR(ISNUMBER(SEARCH("http",S49)),FALSE),"YES","NO")</x:f>
        <x:v>NO</x:v>
      </x:c>
      <x:c r="U49" s="10" t="str">
        <x:v>NO</x:v>
      </x:c>
      <x:c r="V49" s="10" t="str">
        <x:v>NO</x:v>
      </x:c>
      <x:c r="W49" s="10" t="str">
        <x:v>LEGACY_UNVERIFIED_SNAPSHOT: no immutable cutoff/model/source packet</x:v>
      </x:c>
      <x:c r="X49" s="10" t="str">
        <x:v>exact_complement_selection</x:v>
      </x:c>
    </x:row>
    <x:row r="50">
      <x:c r="A50" s="9" t="n">
        <x:v>46</x:v>
      </x:c>
      <x:c r="B50" s="9" t="str">
        <x:v>BKB-20260614-OLY-PAO</x:v>
      </x:c>
      <x:c r="C50" s="25" t="str">
        <x:v>2026-06-14</x:v>
      </x:c>
      <x:c r="D50" s="9" t="str">
        <x:v>Basketball</x:v>
      </x:c>
      <x:c r="E50" s="9" t="str">
        <x:v>Basketball</x:v>
      </x:c>
      <x:c r="F50" s="10" t="str">
        <x:v>Olympiacos vs Panathinaikos AKTOR</x:v>
      </x:c>
      <x:c r="G50" s="10" t="str">
        <x:v>Greek Basket League Finals G5</x:v>
      </x:c>
      <x:c r="H50" s="10" t="str">
        <x:v>Spread 6.5 full 162.5 Q1 40.5 1H 80.5</x:v>
      </x:c>
      <x:c r="I50" s="9" t="n">
        <x:v>7</x:v>
      </x:c>
      <x:c r="J50" s="10" t="str">
        <x:v>Q1 Over 40.5</x:v>
      </x:c>
      <x:c r="K50" s="9" t="str">
        <x:v>Over 40.5</x:v>
      </x:c>
      <x:c r="L50" s="23" t="n">
        <x:v>0.39</x:v>
      </x:c>
      <x:c r="M50" s="9" t="str">
        <x:v>W</x:v>
      </x:c>
      <x:c r="N50" s="9" t="n">
        <x:f>IF(M50="W",1,IF(M50="L",0,""))</x:f>
        <x:v>1</x:v>
      </x:c>
      <x:c r="O50" s="24" t="n">
        <x:f>IF(OR(M50="W",M50="L"),(L50-N50)^2,"")</x:f>
        <x:v>0.3721</x:v>
      </x:c>
      <x:c r="P50" s="9" t="str">
        <x:v>YES</x:v>
      </x:c>
      <x:c r="Q50" s="9" t="str">
        <x:v>30-39</x:v>
      </x:c>
      <x:c r="R50" s="9" t="str">
        <x:v>NO</x:v>
      </x:c>
      <x:c r="S50" s="10" t="str">
        <x:v>Eurohoops/Sportando 2026-06-14</x:v>
      </x:c>
      <x:c r="T50" s="10" t="str">
        <x:f>IF(IFERROR(ISNUMBER(SEARCH("http",S50)),FALSE),"YES","NO")</x:f>
        <x:v>NO</x:v>
      </x:c>
      <x:c r="U50" s="10" t="str">
        <x:v>NO</x:v>
      </x:c>
      <x:c r="V50" s="10" t="str">
        <x:v>NO</x:v>
      </x:c>
      <x:c r="W50" s="10" t="str">
        <x:v>LEGACY_UNVERIFIED_SNAPSHOT: no immutable cutoff/model/source packet</x:v>
      </x:c>
      <x:c r="X50" s="10" t="str">
        <x:v>projection_error; rank_error; exact_complement_selection</x:v>
      </x:c>
    </x:row>
    <x:row r="51">
      <x:c r="A51" s="9" t="n">
        <x:v>47</x:v>
      </x:c>
      <x:c r="B51" s="9" t="str">
        <x:v>BKB-20260614-OLY-PAO</x:v>
      </x:c>
      <x:c r="C51" s="25" t="str">
        <x:v>2026-06-14</x:v>
      </x:c>
      <x:c r="D51" s="9" t="str">
        <x:v>Basketball</x:v>
      </x:c>
      <x:c r="E51" s="9" t="str">
        <x:v>Basketball</x:v>
      </x:c>
      <x:c r="F51" s="10" t="str">
        <x:v>Olympiacos vs Panathinaikos AKTOR</x:v>
      </x:c>
      <x:c r="G51" s="10" t="str">
        <x:v>Greek Basket League Finals G5</x:v>
      </x:c>
      <x:c r="H51" s="10" t="str">
        <x:v>Spread 6.5 full 162.5 Q1 40.5 1H 80.5</x:v>
      </x:c>
      <x:c r="I51" s="9" t="n">
        <x:v>8</x:v>
      </x:c>
      <x:c r="J51" s="10" t="str">
        <x:v>1H Over 80.5</x:v>
      </x:c>
      <x:c r="K51" s="9" t="str">
        <x:v>Over 80.5</x:v>
      </x:c>
      <x:c r="L51" s="23" t="n">
        <x:v>0.37</x:v>
      </x:c>
      <x:c r="M51" s="9" t="str">
        <x:v>W</x:v>
      </x:c>
      <x:c r="N51" s="9" t="n">
        <x:f>IF(M51="W",1,IF(M51="L",0,""))</x:f>
        <x:v>1</x:v>
      </x:c>
      <x:c r="O51" s="24" t="n">
        <x:f>IF(OR(M51="W",M51="L"),(L51-N51)^2,"")</x:f>
        <x:v>0.39690000000000003</x:v>
      </x:c>
      <x:c r="P51" s="9" t="str">
        <x:v>YES</x:v>
      </x:c>
      <x:c r="Q51" s="9" t="str">
        <x:v>30-39</x:v>
      </x:c>
      <x:c r="R51" s="9" t="str">
        <x:v>NO</x:v>
      </x:c>
      <x:c r="S51" s="10" t="str">
        <x:v>Eurohoops/Sportando 2026-06-14</x:v>
      </x:c>
      <x:c r="T51" s="10" t="str">
        <x:f>IF(IFERROR(ISNUMBER(SEARCH("http",S51)),FALSE),"YES","NO")</x:f>
        <x:v>NO</x:v>
      </x:c>
      <x:c r="U51" s="10" t="str">
        <x:v>NO</x:v>
      </x:c>
      <x:c r="V51" s="10" t="str">
        <x:v>NO</x:v>
      </x:c>
      <x:c r="W51" s="10" t="str">
        <x:v>LEGACY_UNVERIFIED_SNAPSHOT: no immutable cutoff/model/source packet</x:v>
      </x:c>
      <x:c r="X51" s="10" t="str">
        <x:v>rank_error; ruleset_error; exact_complement_selection</x:v>
      </x:c>
    </x:row>
    <x:row r="52">
      <x:c r="A52" s="9" t="n">
        <x:v>48</x:v>
      </x:c>
      <x:c r="B52" s="9" t="str">
        <x:v>CRIC-20260614-AUB-JBB</x:v>
      </x:c>
      <x:c r="C52" s="25" t="str">
        <x:v>2026-06-14</x:v>
      </x:c>
      <x:c r="D52" s="9" t="str">
        <x:v>Cricket</x:v>
      </x:c>
      <x:c r="E52" s="9" t="str">
        <x:v>Cricket</x:v>
      </x:c>
      <x:c r="F52" s="10" t="str">
        <x:v>Akcel United Brussels vs JB Bruges</x:v>
      </x:c>
      <x:c r="G52" s="10" t="str">
        <x:v>EUT20 Belgium Super 4</x:v>
      </x:c>
      <x:c r="H52" s="10" t="str">
        <x:v>Brussels innings 174.5/74.5 and first-6 53.5</x:v>
      </x:c>
      <x:c r="I52" s="9" t="n">
        <x:v>1</x:v>
      </x:c>
      <x:c r="J52" s="10" t="str">
        <x:v>AUB first-6 Over 53.5</x:v>
      </x:c>
      <x:c r="K52" s="9" t="str">
        <x:v>Over 53.5</x:v>
      </x:c>
      <x:c r="L52" s="23" t="n">
        <x:v>0.58</x:v>
      </x:c>
      <x:c r="M52" s="9" t="str">
        <x:v>UNGRADED</x:v>
      </x:c>
      <x:c r="N52" s="9" t="str">
        <x:f>IF(M52="W",1,IF(M52="L",0,""))</x:f>
      </x:c>
      <x:c r="O52" s="24" t="str">
        <x:f>IF(OR(M52="W",M52="L"),(L52-N52)^2,"")</x:f>
      </x:c>
      <x:c r="P52" s="9" t="str">
        <x:v>YES</x:v>
      </x:c>
      <x:c r="Q52" s="9" t="str">
        <x:v>50-59</x:v>
      </x:c>
      <x:c r="R52" s="9" t="str">
        <x:v>NO</x:v>
      </x:c>
      <x:c r="S52" s="10" t="str">
        <x:v>ESPNcricinfo/Wikipedia final 2026-06-14</x:v>
      </x:c>
      <x:c r="T52" s="10" t="str">
        <x:f>IF(IFERROR(ISNUMBER(SEARCH("http",S52)),FALSE),"YES","NO")</x:f>
        <x:v>NO</x:v>
      </x:c>
      <x:c r="U52" s="10" t="str">
        <x:v>NO</x:v>
      </x:c>
      <x:c r="V52" s="10" t="str">
        <x:v>NO</x:v>
      </x:c>
      <x:c r="W52" s="10" t="str">
        <x:v>LEGACY_UNVERIFIED_SNAPSHOT: no immutable cutoff/model/source packet</x:v>
      </x:c>
      <x:c r="X52" s="10" t="str">
        <x:v>source_error; exact_complement_selection</x:v>
      </x:c>
    </x:row>
    <x:row r="53">
      <x:c r="A53" s="9" t="n">
        <x:v>49</x:v>
      </x:c>
      <x:c r="B53" s="9" t="str">
        <x:v>CRIC-20260614-AUB-JBB</x:v>
      </x:c>
      <x:c r="C53" s="25" t="str">
        <x:v>2026-06-14</x:v>
      </x:c>
      <x:c r="D53" s="9" t="str">
        <x:v>Cricket</x:v>
      </x:c>
      <x:c r="E53" s="9" t="str">
        <x:v>Cricket</x:v>
      </x:c>
      <x:c r="F53" s="10" t="str">
        <x:v>Akcel United Brussels vs JB Bruges</x:v>
      </x:c>
      <x:c r="G53" s="10" t="str">
        <x:v>EUT20 Belgium Super 4</x:v>
      </x:c>
      <x:c r="H53" s="10" t="str">
        <x:v>Brussels innings 174.5/74.5 and first-6 53.5</x:v>
      </x:c>
      <x:c r="I53" s="9" t="n">
        <x:v>2</x:v>
      </x:c>
      <x:c r="J53" s="10" t="str">
        <x:v>AUB innings Over 174.5</x:v>
      </x:c>
      <x:c r="K53" s="9" t="str">
        <x:v>Over 174.5</x:v>
      </x:c>
      <x:c r="L53" s="23" t="n">
        <x:v>0.55</x:v>
      </x:c>
      <x:c r="M53" s="9" t="str">
        <x:v>W</x:v>
      </x:c>
      <x:c r="N53" s="9" t="n">
        <x:f>IF(M53="W",1,IF(M53="L",0,""))</x:f>
        <x:v>1</x:v>
      </x:c>
      <x:c r="O53" s="24" t="n">
        <x:f>IF(OR(M53="W",M53="L"),(L53-N53)^2,"")</x:f>
        <x:v>0.20249999999999996</x:v>
      </x:c>
      <x:c r="P53" s="9" t="str">
        <x:v>NO</x:v>
      </x:c>
      <x:c r="Q53" s="9" t="str">
        <x:v>50-59</x:v>
      </x:c>
      <x:c r="R53" s="9" t="str">
        <x:v>NO</x:v>
      </x:c>
      <x:c r="S53" s="10" t="str">
        <x:v>ESPNcricinfo/Wikipedia final 2026-06-14</x:v>
      </x:c>
      <x:c r="T53" s="10" t="str">
        <x:f>IF(IFERROR(ISNUMBER(SEARCH("http",S53)),FALSE),"YES","NO")</x:f>
        <x:v>NO</x:v>
      </x:c>
      <x:c r="U53" s="10" t="str">
        <x:v>NO</x:v>
      </x:c>
      <x:c r="V53" s="10" t="str">
        <x:v>NO</x:v>
      </x:c>
      <x:c r="W53" s="10" t="str">
        <x:v>LEGACY_UNVERIFIED_SNAPSHOT: no immutable cutoff/model/source packet</x:v>
      </x:c>
      <x:c r="X53" s="10" t="str">
        <x:v>legacy schema only</x:v>
      </x:c>
    </x:row>
    <x:row r="54">
      <x:c r="A54" s="9" t="n">
        <x:v>50</x:v>
      </x:c>
      <x:c r="B54" s="9" t="str">
        <x:v>CRIC-20260614-AUB-JBB</x:v>
      </x:c>
      <x:c r="C54" s="25" t="str">
        <x:v>2026-06-14</x:v>
      </x:c>
      <x:c r="D54" s="9" t="str">
        <x:v>Cricket</x:v>
      </x:c>
      <x:c r="E54" s="9" t="str">
        <x:v>Cricket</x:v>
      </x:c>
      <x:c r="F54" s="10" t="str">
        <x:v>Akcel United Brussels vs JB Bruges</x:v>
      </x:c>
      <x:c r="G54" s="10" t="str">
        <x:v>EUT20 Belgium Super 4</x:v>
      </x:c>
      <x:c r="H54" s="10" t="str">
        <x:v>Brussels innings 174.5/74.5 and first-6 53.5</x:v>
      </x:c>
      <x:c r="I54" s="9" t="n">
        <x:v>3</x:v>
      </x:c>
      <x:c r="J54" s="10" t="str">
        <x:v>AUB first-6 Under 53.5</x:v>
      </x:c>
      <x:c r="K54" s="9" t="str">
        <x:v>Under 53.5</x:v>
      </x:c>
      <x:c r="L54" s="23" t="n">
        <x:v>0.42</x:v>
      </x:c>
      <x:c r="M54" s="9" t="str">
        <x:v>UNGRADED</x:v>
      </x:c>
      <x:c r="N54" s="9" t="str">
        <x:f>IF(M54="W",1,IF(M54="L",0,""))</x:f>
      </x:c>
      <x:c r="O54" s="24" t="str">
        <x:f>IF(OR(M54="W",M54="L"),(L54-N54)^2,"")</x:f>
      </x:c>
      <x:c r="P54" s="9" t="str">
        <x:v>YES</x:v>
      </x:c>
      <x:c r="Q54" s="9" t="str">
        <x:v>40-49</x:v>
      </x:c>
      <x:c r="R54" s="9" t="str">
        <x:v>NO</x:v>
      </x:c>
      <x:c r="S54" s="10" t="str">
        <x:v>ESPNcricinfo/Wikipedia final 2026-06-14</x:v>
      </x:c>
      <x:c r="T54" s="10" t="str">
        <x:f>IF(IFERROR(ISNUMBER(SEARCH("http",S54)),FALSE),"YES","NO")</x:f>
        <x:v>NO</x:v>
      </x:c>
      <x:c r="U54" s="10" t="str">
        <x:v>NO</x:v>
      </x:c>
      <x:c r="V54" s="10" t="str">
        <x:v>NO</x:v>
      </x:c>
      <x:c r="W54" s="10" t="str">
        <x:v>LEGACY_UNVERIFIED_SNAPSHOT: no immutable cutoff/model/source packet</x:v>
      </x:c>
      <x:c r="X54" s="10" t="str">
        <x:v>source_error; exact_complement_selection</x:v>
      </x:c>
    </x:row>
    <x:row r="55">
      <x:c r="A55" s="9" t="n">
        <x:v>51</x:v>
      </x:c>
      <x:c r="B55" s="9" t="str">
        <x:v>CRIC-20260614-AUB-JBB</x:v>
      </x:c>
      <x:c r="C55" s="25" t="str">
        <x:v>2026-06-14</x:v>
      </x:c>
      <x:c r="D55" s="9" t="str">
        <x:v>Cricket</x:v>
      </x:c>
      <x:c r="E55" s="9" t="str">
        <x:v>Cricket</x:v>
      </x:c>
      <x:c r="F55" s="10" t="str">
        <x:v>Akcel United Brussels vs JB Bruges</x:v>
      </x:c>
      <x:c r="G55" s="10" t="str">
        <x:v>EUT20 Belgium Super 4</x:v>
      </x:c>
      <x:c r="H55" s="10" t="str">
        <x:v>Brussels innings 174.5/74.5 and first-6 53.5</x:v>
      </x:c>
      <x:c r="I55" s="9" t="n">
        <x:v>4</x:v>
      </x:c>
      <x:c r="J55" s="10" t="str">
        <x:v>AUB innings Under 74.5</x:v>
      </x:c>
      <x:c r="K55" s="9" t="str">
        <x:v>Under 74.5</x:v>
      </x:c>
      <x:c r="L55" s="23" t="n">
        <x:v>0.06</x:v>
      </x:c>
      <x:c r="M55" s="9" t="str">
        <x:v>L</x:v>
      </x:c>
      <x:c r="N55" s="9" t="n">
        <x:f>IF(M55="W",1,IF(M55="L",0,""))</x:f>
        <x:v>0</x:v>
      </x:c>
      <x:c r="O55" s="24" t="n">
        <x:f>IF(OR(M55="W",M55="L"),(L55-N55)^2,"")</x:f>
        <x:v>0.0036</x:v>
      </x:c>
      <x:c r="P55" s="9" t="str">
        <x:v>NO</x:v>
      </x:c>
      <x:c r="Q55" s="9" t="str">
        <x:v>0-9</x:v>
      </x:c>
      <x:c r="R55" s="9" t="str">
        <x:v>NO</x:v>
      </x:c>
      <x:c r="S55" s="10" t="str">
        <x:v>ESPNcricinfo/Wikipedia final 2026-06-14</x:v>
      </x:c>
      <x:c r="T55" s="10" t="str">
        <x:f>IF(IFERROR(ISNUMBER(SEARCH("http",S55)),FALSE),"YES","NO")</x:f>
        <x:v>NO</x:v>
      </x:c>
      <x:c r="U55" s="10" t="str">
        <x:v>YES</x:v>
      </x:c>
      <x:c r="V55" s="10" t="str">
        <x:v>NO</x:v>
      </x:c>
      <x:c r="W55" s="10" t="str">
        <x:v>LEGACY_UNVERIFIED_SNAPSHOT: no immutable cutoff/model/source packet</x:v>
      </x:c>
      <x:c r="X55" s="10" t="str">
        <x:v>potential_post_event_input_text</x:v>
      </x:c>
    </x:row>
    <x:row r="56">
      <x:c r="A56" s="9" t="n">
        <x:v>52</x:v>
      </x:c>
      <x:c r="B56" s="9" t="str">
        <x:v>SOC-20260614-BRA-MAR</x:v>
      </x:c>
      <x:c r="C56" s="25" t="str">
        <x:v>2026-06-14</x:v>
      </x:c>
      <x:c r="D56" s="9" t="str">
        <x:v>Soccer</x:v>
      </x:c>
      <x:c r="E56" s="9" t="str">
        <x:v>Soccer</x:v>
      </x:c>
      <x:c r="F56" s="10" t="str">
        <x:v>Brazil vs Morocco</x:v>
      </x:c>
      <x:c r="G56" s="10" t="str">
        <x:v>FIFA World Cup Group C</x:v>
      </x:c>
      <x:c r="H56" s="10" t="str">
        <x:v>1H goals 0.5 and full-time goals 1.5</x:v>
      </x:c>
      <x:c r="I56" s="9" t="n">
        <x:v>1</x:v>
      </x:c>
      <x:c r="J56" s="10" t="str">
        <x:v>Total Over 1.5</x:v>
      </x:c>
      <x:c r="K56" s="9" t="str">
        <x:v>Over 1.5</x:v>
      </x:c>
      <x:c r="L56" s="23" t="n">
        <x:v>0.64</x:v>
      </x:c>
      <x:c r="M56" s="9" t="str">
        <x:v>W</x:v>
      </x:c>
      <x:c r="N56" s="9" t="n">
        <x:f>IF(M56="W",1,IF(M56="L",0,""))</x:f>
        <x:v>1</x:v>
      </x:c>
      <x:c r="O56" s="24" t="n">
        <x:f>IF(OR(M56="W",M56="L"),(L56-N56)^2,"")</x:f>
        <x:v>0.1296</x:v>
      </x:c>
      <x:c r="P56" s="9" t="str">
        <x:v>YES</x:v>
      </x:c>
      <x:c r="Q56" s="9" t="str">
        <x:v>60-69</x:v>
      </x:c>
      <x:c r="R56" s="9" t="str">
        <x:v>NO</x:v>
      </x:c>
      <x:c r="S56" s="10" t="str">
        <x:v>Guardian live/final 2026-06-14</x:v>
      </x:c>
      <x:c r="T56" s="10" t="str">
        <x:f>IF(IFERROR(ISNUMBER(SEARCH("http",S56)),FALSE),"YES","NO")</x:f>
        <x:v>NO</x:v>
      </x:c>
      <x:c r="U56" s="10" t="str">
        <x:v>NO</x:v>
      </x:c>
      <x:c r="V56" s="10" t="str">
        <x:v>NO</x:v>
      </x:c>
      <x:c r="W56" s="10" t="str">
        <x:v>LEGACY_UNVERIFIED_SNAPSHOT: no immutable cutoff/model/source packet</x:v>
      </x:c>
      <x:c r="X56" s="10" t="str">
        <x:v>exact_complement_selection</x:v>
      </x:c>
    </x:row>
    <x:row r="57">
      <x:c r="A57" s="9" t="n">
        <x:v>53</x:v>
      </x:c>
      <x:c r="B57" s="9" t="str">
        <x:v>SOC-20260614-BRA-MAR</x:v>
      </x:c>
      <x:c r="C57" s="25" t="str">
        <x:v>2026-06-14</x:v>
      </x:c>
      <x:c r="D57" s="9" t="str">
        <x:v>Soccer</x:v>
      </x:c>
      <x:c r="E57" s="9" t="str">
        <x:v>Soccer</x:v>
      </x:c>
      <x:c r="F57" s="10" t="str">
        <x:v>Brazil vs Morocco</x:v>
      </x:c>
      <x:c r="G57" s="10" t="str">
        <x:v>FIFA World Cup Group C</x:v>
      </x:c>
      <x:c r="H57" s="10" t="str">
        <x:v>1H goals 0.5 and full-time goals 1.5</x:v>
      </x:c>
      <x:c r="I57" s="9" t="n">
        <x:v>2</x:v>
      </x:c>
      <x:c r="J57" s="10" t="str">
        <x:v>1H Over 0.5</x:v>
      </x:c>
      <x:c r="K57" s="9" t="str">
        <x:v>Over 0.5</x:v>
      </x:c>
      <x:c r="L57" s="23" t="n">
        <x:v>0.57</x:v>
      </x:c>
      <x:c r="M57" s="9" t="str">
        <x:v>W</x:v>
      </x:c>
      <x:c r="N57" s="9" t="n">
        <x:f>IF(M57="W",1,IF(M57="L",0,""))</x:f>
        <x:v>1</x:v>
      </x:c>
      <x:c r="O57" s="24" t="n">
        <x:f>IF(OR(M57="W",M57="L"),(L57-N57)^2,"")</x:f>
        <x:v>0.18490000000000004</x:v>
      </x:c>
      <x:c r="P57" s="9" t="str">
        <x:v>YES</x:v>
      </x:c>
      <x:c r="Q57" s="9" t="str">
        <x:v>50-59</x:v>
      </x:c>
      <x:c r="R57" s="9" t="str">
        <x:v>NO</x:v>
      </x:c>
      <x:c r="S57" s="10" t="str">
        <x:v>Guardian live/final 2026-06-14</x:v>
      </x:c>
      <x:c r="T57" s="10" t="str">
        <x:f>IF(IFERROR(ISNUMBER(SEARCH("http",S57)),FALSE),"YES","NO")</x:f>
        <x:v>NO</x:v>
      </x:c>
      <x:c r="U57" s="10" t="str">
        <x:v>NO</x:v>
      </x:c>
      <x:c r="V57" s="10" t="str">
        <x:v>NO</x:v>
      </x:c>
      <x:c r="W57" s="10" t="str">
        <x:v>LEGACY_UNVERIFIED_SNAPSHOT: no immutable cutoff/model/source packet</x:v>
      </x:c>
      <x:c r="X57" s="10" t="str">
        <x:v>exact_complement_selection</x:v>
      </x:c>
    </x:row>
    <x:row r="58">
      <x:c r="A58" s="9" t="n">
        <x:v>54</x:v>
      </x:c>
      <x:c r="B58" s="9" t="str">
        <x:v>SOC-20260614-BRA-MAR</x:v>
      </x:c>
      <x:c r="C58" s="25" t="str">
        <x:v>2026-06-14</x:v>
      </x:c>
      <x:c r="D58" s="9" t="str">
        <x:v>Soccer</x:v>
      </x:c>
      <x:c r="E58" s="9" t="str">
        <x:v>Soccer</x:v>
      </x:c>
      <x:c r="F58" s="10" t="str">
        <x:v>Brazil vs Morocco</x:v>
      </x:c>
      <x:c r="G58" s="10" t="str">
        <x:v>FIFA World Cup Group C</x:v>
      </x:c>
      <x:c r="H58" s="10" t="str">
        <x:v>1H goals 0.5 and full-time goals 1.5</x:v>
      </x:c>
      <x:c r="I58" s="9" t="n">
        <x:v>3</x:v>
      </x:c>
      <x:c r="J58" s="10" t="str">
        <x:v>1H Under 0.5</x:v>
      </x:c>
      <x:c r="K58" s="9" t="str">
        <x:v>Under 0.5</x:v>
      </x:c>
      <x:c r="L58" s="23" t="n">
        <x:v>0.43</x:v>
      </x:c>
      <x:c r="M58" s="9" t="str">
        <x:v>L</x:v>
      </x:c>
      <x:c r="N58" s="9" t="n">
        <x:f>IF(M58="W",1,IF(M58="L",0,""))</x:f>
        <x:v>0</x:v>
      </x:c>
      <x:c r="O58" s="24" t="n">
        <x:f>IF(OR(M58="W",M58="L"),(L58-N58)^2,"")</x:f>
        <x:v>0.18489999999999998</x:v>
      </x:c>
      <x:c r="P58" s="9" t="str">
        <x:v>YES</x:v>
      </x:c>
      <x:c r="Q58" s="9" t="str">
        <x:v>40-49</x:v>
      </x:c>
      <x:c r="R58" s="9" t="str">
        <x:v>NO</x:v>
      </x:c>
      <x:c r="S58" s="10" t="str">
        <x:v>Guardian live/final 2026-06-14</x:v>
      </x:c>
      <x:c r="T58" s="10" t="str">
        <x:f>IF(IFERROR(ISNUMBER(SEARCH("http",S58)),FALSE),"YES","NO")</x:f>
        <x:v>NO</x:v>
      </x:c>
      <x:c r="U58" s="10" t="str">
        <x:v>NO</x:v>
      </x:c>
      <x:c r="V58" s="10" t="str">
        <x:v>NO</x:v>
      </x:c>
      <x:c r="W58" s="10" t="str">
        <x:v>LEGACY_UNVERIFIED_SNAPSHOT: no immutable cutoff/model/source packet</x:v>
      </x:c>
      <x:c r="X58" s="10" t="str">
        <x:v>exact_complement_selection</x:v>
      </x:c>
    </x:row>
    <x:row r="59">
      <x:c r="A59" s="9" t="n">
        <x:v>55</x:v>
      </x:c>
      <x:c r="B59" s="9" t="str">
        <x:v>SOC-20260614-BRA-MAR</x:v>
      </x:c>
      <x:c r="C59" s="25" t="str">
        <x:v>2026-06-14</x:v>
      </x:c>
      <x:c r="D59" s="9" t="str">
        <x:v>Soccer</x:v>
      </x:c>
      <x:c r="E59" s="9" t="str">
        <x:v>Soccer</x:v>
      </x:c>
      <x:c r="F59" s="10" t="str">
        <x:v>Brazil vs Morocco</x:v>
      </x:c>
      <x:c r="G59" s="10" t="str">
        <x:v>FIFA World Cup Group C</x:v>
      </x:c>
      <x:c r="H59" s="10" t="str">
        <x:v>1H goals 0.5 and full-time goals 1.5</x:v>
      </x:c>
      <x:c r="I59" s="9" t="n">
        <x:v>4</x:v>
      </x:c>
      <x:c r="J59" s="10" t="str">
        <x:v>Total Under 1.5</x:v>
      </x:c>
      <x:c r="K59" s="9" t="str">
        <x:v>Under 1.5</x:v>
      </x:c>
      <x:c r="L59" s="23" t="n">
        <x:v>0.36</x:v>
      </x:c>
      <x:c r="M59" s="9" t="str">
        <x:v>L</x:v>
      </x:c>
      <x:c r="N59" s="9" t="n">
        <x:f>IF(M59="W",1,IF(M59="L",0,""))</x:f>
        <x:v>0</x:v>
      </x:c>
      <x:c r="O59" s="24" t="n">
        <x:f>IF(OR(M59="W",M59="L"),(L59-N59)^2,"")</x:f>
        <x:v>0.1296</x:v>
      </x:c>
      <x:c r="P59" s="9" t="str">
        <x:v>YES</x:v>
      </x:c>
      <x:c r="Q59" s="9" t="str">
        <x:v>30-39</x:v>
      </x:c>
      <x:c r="R59" s="9" t="str">
        <x:v>NO</x:v>
      </x:c>
      <x:c r="S59" s="10" t="str">
        <x:v>Guardian live/final 2026-06-14</x:v>
      </x:c>
      <x:c r="T59" s="10" t="str">
        <x:f>IF(IFERROR(ISNUMBER(SEARCH("http",S59)),FALSE),"YES","NO")</x:f>
        <x:v>NO</x:v>
      </x:c>
      <x:c r="U59" s="10" t="str">
        <x:v>NO</x:v>
      </x:c>
      <x:c r="V59" s="10" t="str">
        <x:v>NO</x:v>
      </x:c>
      <x:c r="W59" s="10" t="str">
        <x:v>LEGACY_UNVERIFIED_SNAPSHOT: no immutable cutoff/model/source packet</x:v>
      </x:c>
      <x:c r="X59" s="10" t="str">
        <x:v>exact_complement_selection</x:v>
      </x:c>
    </x:row>
    <x:row r="60">
      <x:c r="A60" s="9" t="n">
        <x:v>56</x:v>
      </x:c>
      <x:c r="B60" s="9" t="str">
        <x:v>BKB-20260614-IND-CON</x:v>
      </x:c>
      <x:c r="C60" s="25" t="str">
        <x:v>2026-06-14</x:v>
      </x:c>
      <x:c r="D60" s="9" t="str">
        <x:v>Basketball</x:v>
      </x:c>
      <x:c r="E60" s="9" t="str">
        <x:v>Basketball</x:v>
      </x:c>
      <x:c r="F60" s="10" t="str">
        <x:v>Indiana Fever at Connecticut Sun</x:v>
      </x:c>
      <x:c r="G60" s="10" t="str">
        <x:v>WNBA regular season Commissioner's Cup</x:v>
      </x:c>
      <x:c r="H60" s="10" t="str">
        <x:v>Spread 8.5 full 170.5 Q1 44.5 1H 88.5</x:v>
      </x:c>
      <x:c r="I60" s="9" t="n">
        <x:v>1</x:v>
      </x:c>
      <x:c r="J60" s="10" t="str">
        <x:v>Full Over 170.5</x:v>
      </x:c>
      <x:c r="K60" s="9" t="str">
        <x:v>Over 170.5</x:v>
      </x:c>
      <x:c r="L60" s="23" t="n">
        <x:v>0.6</x:v>
      </x:c>
      <x:c r="M60" s="9" t="str">
        <x:v>L</x:v>
      </x:c>
      <x:c r="N60" s="9" t="n">
        <x:f>IF(M60="W",1,IF(M60="L",0,""))</x:f>
        <x:v>0</x:v>
      </x:c>
      <x:c r="O60" s="24" t="n">
        <x:f>IF(OR(M60="W",M60="L"),(L60-N60)^2,"")</x:f>
        <x:v>0.36</x:v>
      </x:c>
      <x:c r="P60" s="9" t="str">
        <x:v>YES</x:v>
      </x:c>
      <x:c r="Q60" s="9" t="str">
        <x:v>60-69</x:v>
      </x:c>
      <x:c r="R60" s="9" t="str">
        <x:v>NO</x:v>
      </x:c>
      <x:c r="S60" s="10" t="str">
        <x:v>ESPN WNBA scoreboard API event 401856986 2026-06-14</x:v>
      </x:c>
      <x:c r="T60" s="10" t="str">
        <x:f>IF(IFERROR(ISNUMBER(SEARCH("http",S60)),FALSE),"YES","NO")</x:f>
        <x:v>NO</x:v>
      </x:c>
      <x:c r="U60" s="10" t="str">
        <x:v>NO</x:v>
      </x:c>
      <x:c r="V60" s="10" t="str">
        <x:v>NO</x:v>
      </x:c>
      <x:c r="W60" s="10" t="str">
        <x:v>LEGACY_UNVERIFIED_SNAPSHOT: no immutable cutoff/model/source packet</x:v>
      </x:c>
      <x:c r="X60" s="10" t="str">
        <x:v>projection_error; exact_complement_selection</x:v>
      </x:c>
    </x:row>
    <x:row r="61">
      <x:c r="A61" s="9" t="n">
        <x:v>57</x:v>
      </x:c>
      <x:c r="B61" s="9" t="str">
        <x:v>BKB-20260614-IND-CON</x:v>
      </x:c>
      <x:c r="C61" s="25" t="str">
        <x:v>2026-06-14</x:v>
      </x:c>
      <x:c r="D61" s="9" t="str">
        <x:v>Basketball</x:v>
      </x:c>
      <x:c r="E61" s="9" t="str">
        <x:v>Basketball</x:v>
      </x:c>
      <x:c r="F61" s="10" t="str">
        <x:v>Indiana Fever at Connecticut Sun</x:v>
      </x:c>
      <x:c r="G61" s="10" t="str">
        <x:v>WNBA regular season Commissioner's Cup</x:v>
      </x:c>
      <x:c r="H61" s="10" t="str">
        <x:v>Spread 8.5 full 170.5 Q1 44.5 1H 88.5</x:v>
      </x:c>
      <x:c r="I61" s="9" t="n">
        <x:v>2</x:v>
      </x:c>
      <x:c r="J61" s="10" t="str">
        <x:v>Fever -8.5</x:v>
      </x:c>
      <x:c r="K61" s="9" t="str">
        <x:v>-8.5</x:v>
      </x:c>
      <x:c r="L61" s="23" t="n">
        <x:v>0.58</x:v>
      </x:c>
      <x:c r="M61" s="9" t="str">
        <x:v>W</x:v>
      </x:c>
      <x:c r="N61" s="9" t="n">
        <x:f>IF(M61="W",1,IF(M61="L",0,""))</x:f>
        <x:v>1</x:v>
      </x:c>
      <x:c r="O61" s="24" t="n">
        <x:f>IF(OR(M61="W",M61="L"),(L61-N61)^2,"")</x:f>
        <x:v>0.17640000000000003</x:v>
      </x:c>
      <x:c r="P61" s="9" t="str">
        <x:v>YES</x:v>
      </x:c>
      <x:c r="Q61" s="9" t="str">
        <x:v>50-59</x:v>
      </x:c>
      <x:c r="R61" s="9" t="str">
        <x:v>NO</x:v>
      </x:c>
      <x:c r="S61" s="10" t="str">
        <x:v>ESPN WNBA scoreboard API event 401856986 2026-06-14</x:v>
      </x:c>
      <x:c r="T61" s="10" t="str">
        <x:f>IF(IFERROR(ISNUMBER(SEARCH("http",S61)),FALSE),"YES","NO")</x:f>
        <x:v>NO</x:v>
      </x:c>
      <x:c r="U61" s="10" t="str">
        <x:v>NO</x:v>
      </x:c>
      <x:c r="V61" s="10" t="str">
        <x:v>NO</x:v>
      </x:c>
      <x:c r="W61" s="10" t="str">
        <x:v>LEGACY_UNVERIFIED_SNAPSHOT: no immutable cutoff/model/source packet</x:v>
      </x:c>
      <x:c r="X61" s="10" t="str">
        <x:v>exact_complement_selection</x:v>
      </x:c>
    </x:row>
    <x:row r="62">
      <x:c r="A62" s="9" t="n">
        <x:v>58</x:v>
      </x:c>
      <x:c r="B62" s="9" t="str">
        <x:v>BKB-20260614-IND-CON</x:v>
      </x:c>
      <x:c r="C62" s="25" t="str">
        <x:v>2026-06-14</x:v>
      </x:c>
      <x:c r="D62" s="9" t="str">
        <x:v>Basketball</x:v>
      </x:c>
      <x:c r="E62" s="9" t="str">
        <x:v>Basketball</x:v>
      </x:c>
      <x:c r="F62" s="10" t="str">
        <x:v>Indiana Fever at Connecticut Sun</x:v>
      </x:c>
      <x:c r="G62" s="10" t="str">
        <x:v>WNBA regular season Commissioner's Cup</x:v>
      </x:c>
      <x:c r="H62" s="10" t="str">
        <x:v>Spread 8.5 full 170.5 Q1 44.5 1H 88.5</x:v>
      </x:c>
      <x:c r="I62" s="9" t="n">
        <x:v>3</x:v>
      </x:c>
      <x:c r="J62" s="10" t="str">
        <x:v>1H Under 88.5</x:v>
      </x:c>
      <x:c r="K62" s="9" t="str">
        <x:v>Under 88.5</x:v>
      </x:c>
      <x:c r="L62" s="23" t="n">
        <x:v>0.57</x:v>
      </x:c>
      <x:c r="M62" s="9" t="str">
        <x:v>W</x:v>
      </x:c>
      <x:c r="N62" s="9" t="n">
        <x:f>IF(M62="W",1,IF(M62="L",0,""))</x:f>
        <x:v>1</x:v>
      </x:c>
      <x:c r="O62" s="24" t="n">
        <x:f>IF(OR(M62="W",M62="L"),(L62-N62)^2,"")</x:f>
        <x:v>0.18490000000000004</x:v>
      </x:c>
      <x:c r="P62" s="9" t="str">
        <x:v>YES</x:v>
      </x:c>
      <x:c r="Q62" s="9" t="str">
        <x:v>50-59</x:v>
      </x:c>
      <x:c r="R62" s="9" t="str">
        <x:v>NO</x:v>
      </x:c>
      <x:c r="S62" s="10" t="str">
        <x:v>ESPN WNBA scoreboard API event 401856986 2026-06-14</x:v>
      </x:c>
      <x:c r="T62" s="10" t="str">
        <x:f>IF(IFERROR(ISNUMBER(SEARCH("http",S62)),FALSE),"YES","NO")</x:f>
        <x:v>NO</x:v>
      </x:c>
      <x:c r="U62" s="10" t="str">
        <x:v>NO</x:v>
      </x:c>
      <x:c r="V62" s="10" t="str">
        <x:v>NO</x:v>
      </x:c>
      <x:c r="W62" s="10" t="str">
        <x:v>LEGACY_UNVERIFIED_SNAPSHOT: no immutable cutoff/model/source packet</x:v>
      </x:c>
      <x:c r="X62" s="10" t="str">
        <x:v>exact_complement_selection</x:v>
      </x:c>
    </x:row>
    <x:row r="63">
      <x:c r="A63" s="9" t="n">
        <x:v>59</x:v>
      </x:c>
      <x:c r="B63" s="9" t="str">
        <x:v>BKB-20260614-IND-CON</x:v>
      </x:c>
      <x:c r="C63" s="25" t="str">
        <x:v>2026-06-14</x:v>
      </x:c>
      <x:c r="D63" s="9" t="str">
        <x:v>Basketball</x:v>
      </x:c>
      <x:c r="E63" s="9" t="str">
        <x:v>Basketball</x:v>
      </x:c>
      <x:c r="F63" s="10" t="str">
        <x:v>Indiana Fever at Connecticut Sun</x:v>
      </x:c>
      <x:c r="G63" s="10" t="str">
        <x:v>WNBA regular season Commissioner's Cup</x:v>
      </x:c>
      <x:c r="H63" s="10" t="str">
        <x:v>Spread 8.5 full 170.5 Q1 44.5 1H 88.5</x:v>
      </x:c>
      <x:c r="I63" s="9" t="n">
        <x:v>4</x:v>
      </x:c>
      <x:c r="J63" s="10" t="str">
        <x:v>Q1 Over 44.5</x:v>
      </x:c>
      <x:c r="K63" s="9" t="str">
        <x:v>Over 44.5</x:v>
      </x:c>
      <x:c r="L63" s="23" t="n">
        <x:v>0.51</x:v>
      </x:c>
      <x:c r="M63" s="9" t="str">
        <x:v>W</x:v>
      </x:c>
      <x:c r="N63" s="9" t="n">
        <x:f>IF(M63="W",1,IF(M63="L",0,""))</x:f>
        <x:v>1</x:v>
      </x:c>
      <x:c r="O63" s="24" t="n">
        <x:f>IF(OR(M63="W",M63="L"),(L63-N63)^2,"")</x:f>
        <x:v>0.24009999999999998</x:v>
      </x:c>
      <x:c r="P63" s="9" t="str">
        <x:v>YES</x:v>
      </x:c>
      <x:c r="Q63" s="9" t="str">
        <x:v>50-59</x:v>
      </x:c>
      <x:c r="R63" s="9" t="str">
        <x:v>NO</x:v>
      </x:c>
      <x:c r="S63" s="10" t="str">
        <x:v>ESPN WNBA scoreboard API event 401856986 2026-06-14</x:v>
      </x:c>
      <x:c r="T63" s="10" t="str">
        <x:f>IF(IFERROR(ISNUMBER(SEARCH("http",S63)),FALSE),"YES","NO")</x:f>
        <x:v>NO</x:v>
      </x:c>
      <x:c r="U63" s="10" t="str">
        <x:v>NO</x:v>
      </x:c>
      <x:c r="V63" s="10" t="str">
        <x:v>NO</x:v>
      </x:c>
      <x:c r="W63" s="10" t="str">
        <x:v>LEGACY_UNVERIFIED_SNAPSHOT: no immutable cutoff/model/source packet</x:v>
      </x:c>
      <x:c r="X63" s="10" t="str">
        <x:v>exact_complement_selection</x:v>
      </x:c>
    </x:row>
    <x:row r="64">
      <x:c r="A64" s="9" t="n">
        <x:v>60</x:v>
      </x:c>
      <x:c r="B64" s="9" t="str">
        <x:v>BKB-20260614-IND-CON</x:v>
      </x:c>
      <x:c r="C64" s="25" t="str">
        <x:v>2026-06-14</x:v>
      </x:c>
      <x:c r="D64" s="9" t="str">
        <x:v>Basketball</x:v>
      </x:c>
      <x:c r="E64" s="9" t="str">
        <x:v>Basketball</x:v>
      </x:c>
      <x:c r="F64" s="10" t="str">
        <x:v>Indiana Fever at Connecticut Sun</x:v>
      </x:c>
      <x:c r="G64" s="10" t="str">
        <x:v>WNBA regular season Commissioner's Cup</x:v>
      </x:c>
      <x:c r="H64" s="10" t="str">
        <x:v>Spread 8.5 full 170.5 Q1 44.5 1H 88.5</x:v>
      </x:c>
      <x:c r="I64" s="9" t="n">
        <x:v>5</x:v>
      </x:c>
      <x:c r="J64" s="10" t="str">
        <x:v>Q1 Under 44.5</x:v>
      </x:c>
      <x:c r="K64" s="9" t="str">
        <x:v>Under 44.5</x:v>
      </x:c>
      <x:c r="L64" s="23" t="n">
        <x:v>0.49</x:v>
      </x:c>
      <x:c r="M64" s="9" t="str">
        <x:v>L</x:v>
      </x:c>
      <x:c r="N64" s="9" t="n">
        <x:f>IF(M64="W",1,IF(M64="L",0,""))</x:f>
        <x:v>0</x:v>
      </x:c>
      <x:c r="O64" s="24" t="n">
        <x:f>IF(OR(M64="W",M64="L"),(L64-N64)^2,"")</x:f>
        <x:v>0.24009999999999998</x:v>
      </x:c>
      <x:c r="P64" s="9" t="str">
        <x:v>YES</x:v>
      </x:c>
      <x:c r="Q64" s="9" t="str">
        <x:v>40-49</x:v>
      </x:c>
      <x:c r="R64" s="9" t="str">
        <x:v>NO</x:v>
      </x:c>
      <x:c r="S64" s="10" t="str">
        <x:v>ESPN WNBA scoreboard API event 401856986 2026-06-14</x:v>
      </x:c>
      <x:c r="T64" s="10" t="str">
        <x:f>IF(IFERROR(ISNUMBER(SEARCH("http",S64)),FALSE),"YES","NO")</x:f>
        <x:v>NO</x:v>
      </x:c>
      <x:c r="U64" s="10" t="str">
        <x:v>NO</x:v>
      </x:c>
      <x:c r="V64" s="10" t="str">
        <x:v>NO</x:v>
      </x:c>
      <x:c r="W64" s="10" t="str">
        <x:v>LEGACY_UNVERIFIED_SNAPSHOT: no immutable cutoff/model/source packet</x:v>
      </x:c>
      <x:c r="X64" s="10" t="str">
        <x:v>exact_complement_selection</x:v>
      </x:c>
    </x:row>
    <x:row r="65">
      <x:c r="A65" s="9" t="n">
        <x:v>61</x:v>
      </x:c>
      <x:c r="B65" s="9" t="str">
        <x:v>BKB-20260614-IND-CON</x:v>
      </x:c>
      <x:c r="C65" s="25" t="str">
        <x:v>2026-06-14</x:v>
      </x:c>
      <x:c r="D65" s="9" t="str">
        <x:v>Basketball</x:v>
      </x:c>
      <x:c r="E65" s="9" t="str">
        <x:v>Basketball</x:v>
      </x:c>
      <x:c r="F65" s="10" t="str">
        <x:v>Indiana Fever at Connecticut Sun</x:v>
      </x:c>
      <x:c r="G65" s="10" t="str">
        <x:v>WNBA regular season Commissioner's Cup</x:v>
      </x:c>
      <x:c r="H65" s="10" t="str">
        <x:v>Spread 8.5 full 170.5 Q1 44.5 1H 88.5</x:v>
      </x:c>
      <x:c r="I65" s="9" t="n">
        <x:v>6</x:v>
      </x:c>
      <x:c r="J65" s="10" t="str">
        <x:v>Sun +8.5</x:v>
      </x:c>
      <x:c r="K65" s="9" t="str">
        <x:v>+8.5</x:v>
      </x:c>
      <x:c r="L65" s="23" t="n">
        <x:v>0.42</x:v>
      </x:c>
      <x:c r="M65" s="9" t="str">
        <x:v>L</x:v>
      </x:c>
      <x:c r="N65" s="9" t="n">
        <x:f>IF(M65="W",1,IF(M65="L",0,""))</x:f>
        <x:v>0</x:v>
      </x:c>
      <x:c r="O65" s="24" t="n">
        <x:f>IF(OR(M65="W",M65="L"),(L65-N65)^2,"")</x:f>
        <x:v>0.17639999999999997</x:v>
      </x:c>
      <x:c r="P65" s="9" t="str">
        <x:v>YES</x:v>
      </x:c>
      <x:c r="Q65" s="9" t="str">
        <x:v>40-49</x:v>
      </x:c>
      <x:c r="R65" s="9" t="str">
        <x:v>NO</x:v>
      </x:c>
      <x:c r="S65" s="10" t="str">
        <x:v>ESPN WNBA scoreboard API event 401856986 2026-06-14</x:v>
      </x:c>
      <x:c r="T65" s="10" t="str">
        <x:f>IF(IFERROR(ISNUMBER(SEARCH("http",S65)),FALSE),"YES","NO")</x:f>
        <x:v>NO</x:v>
      </x:c>
      <x:c r="U65" s="10" t="str">
        <x:v>NO</x:v>
      </x:c>
      <x:c r="V65" s="10" t="str">
        <x:v>NO</x:v>
      </x:c>
      <x:c r="W65" s="10" t="str">
        <x:v>LEGACY_UNVERIFIED_SNAPSHOT: no immutable cutoff/model/source packet</x:v>
      </x:c>
      <x:c r="X65" s="10" t="str">
        <x:v>exact_complement_selection</x:v>
      </x:c>
    </x:row>
    <x:row r="66">
      <x:c r="A66" s="9" t="n">
        <x:v>62</x:v>
      </x:c>
      <x:c r="B66" s="9" t="str">
        <x:v>BKB-20260614-IND-CON</x:v>
      </x:c>
      <x:c r="C66" s="25" t="str">
        <x:v>2026-06-14</x:v>
      </x:c>
      <x:c r="D66" s="9" t="str">
        <x:v>Basketball</x:v>
      </x:c>
      <x:c r="E66" s="9" t="str">
        <x:v>Basketball</x:v>
      </x:c>
      <x:c r="F66" s="10" t="str">
        <x:v>Indiana Fever at Connecticut Sun</x:v>
      </x:c>
      <x:c r="G66" s="10" t="str">
        <x:v>WNBA regular season Commissioner's Cup</x:v>
      </x:c>
      <x:c r="H66" s="10" t="str">
        <x:v>Spread 8.5 full 170.5 Q1 44.5 1H 88.5</x:v>
      </x:c>
      <x:c r="I66" s="9" t="n">
        <x:v>7</x:v>
      </x:c>
      <x:c r="J66" s="10" t="str">
        <x:v>Full Under 170.5</x:v>
      </x:c>
      <x:c r="K66" s="9" t="str">
        <x:v>Under 170.5</x:v>
      </x:c>
      <x:c r="L66" s="23" t="n">
        <x:v>0.4</x:v>
      </x:c>
      <x:c r="M66" s="9" t="str">
        <x:v>W</x:v>
      </x:c>
      <x:c r="N66" s="9" t="n">
        <x:f>IF(M66="W",1,IF(M66="L",0,""))</x:f>
        <x:v>1</x:v>
      </x:c>
      <x:c r="O66" s="24" t="n">
        <x:f>IF(OR(M66="W",M66="L"),(L66-N66)^2,"")</x:f>
        <x:v>0.36</x:v>
      </x:c>
      <x:c r="P66" s="9" t="str">
        <x:v>YES</x:v>
      </x:c>
      <x:c r="Q66" s="9" t="str">
        <x:v>40-49</x:v>
      </x:c>
      <x:c r="R66" s="9" t="str">
        <x:v>NO</x:v>
      </x:c>
      <x:c r="S66" s="10" t="str">
        <x:v>ESPN WNBA scoreboard API event 401856986 2026-06-14</x:v>
      </x:c>
      <x:c r="T66" s="10" t="str">
        <x:f>IF(IFERROR(ISNUMBER(SEARCH("http",S66)),FALSE),"YES","NO")</x:f>
        <x:v>NO</x:v>
      </x:c>
      <x:c r="U66" s="10" t="str">
        <x:v>NO</x:v>
      </x:c>
      <x:c r="V66" s="10" t="str">
        <x:v>NO</x:v>
      </x:c>
      <x:c r="W66" s="10" t="str">
        <x:v>LEGACY_UNVERIFIED_SNAPSHOT: no immutable cutoff/model/source packet</x:v>
      </x:c>
      <x:c r="X66" s="10" t="str">
        <x:v>projection_error; exact_complement_selection</x:v>
      </x:c>
    </x:row>
    <x:row r="67">
      <x:c r="A67" s="9" t="n">
        <x:v>63</x:v>
      </x:c>
      <x:c r="B67" s="9" t="str">
        <x:v>BKB-20260614-IND-CON</x:v>
      </x:c>
      <x:c r="C67" s="25" t="str">
        <x:v>2026-06-14</x:v>
      </x:c>
      <x:c r="D67" s="9" t="str">
        <x:v>Basketball</x:v>
      </x:c>
      <x:c r="E67" s="9" t="str">
        <x:v>Basketball</x:v>
      </x:c>
      <x:c r="F67" s="10" t="str">
        <x:v>Indiana Fever at Connecticut Sun</x:v>
      </x:c>
      <x:c r="G67" s="10" t="str">
        <x:v>WNBA regular season Commissioner's Cup</x:v>
      </x:c>
      <x:c r="H67" s="10" t="str">
        <x:v>Spread 8.5 full 170.5 Q1 44.5 1H 88.5</x:v>
      </x:c>
      <x:c r="I67" s="9" t="n">
        <x:v>8</x:v>
      </x:c>
      <x:c r="J67" s="10" t="str">
        <x:v>1H Over 88.5</x:v>
      </x:c>
      <x:c r="K67" s="9" t="str">
        <x:v>Over 88.5</x:v>
      </x:c>
      <x:c r="L67" s="23" t="n">
        <x:v>0.39</x:v>
      </x:c>
      <x:c r="M67" s="9" t="str">
        <x:v>L</x:v>
      </x:c>
      <x:c r="N67" s="9" t="n">
        <x:f>IF(M67="W",1,IF(M67="L",0,""))</x:f>
        <x:v>0</x:v>
      </x:c>
      <x:c r="O67" s="24" t="n">
        <x:f>IF(OR(M67="W",M67="L"),(L67-N67)^2,"")</x:f>
        <x:v>0.1521</x:v>
      </x:c>
      <x:c r="P67" s="9" t="str">
        <x:v>YES</x:v>
      </x:c>
      <x:c r="Q67" s="9" t="str">
        <x:v>30-39</x:v>
      </x:c>
      <x:c r="R67" s="9" t="str">
        <x:v>NO</x:v>
      </x:c>
      <x:c r="S67" s="10" t="str">
        <x:v>ESPN WNBA scoreboard API event 401856986 2026-06-14</x:v>
      </x:c>
      <x:c r="T67" s="10" t="str">
        <x:f>IF(IFERROR(ISNUMBER(SEARCH("http",S67)),FALSE),"YES","NO")</x:f>
        <x:v>NO</x:v>
      </x:c>
      <x:c r="U67" s="10" t="str">
        <x:v>NO</x:v>
      </x:c>
      <x:c r="V67" s="10" t="str">
        <x:v>NO</x:v>
      </x:c>
      <x:c r="W67" s="10" t="str">
        <x:v>LEGACY_UNVERIFIED_SNAPSHOT: no immutable cutoff/model/source packet</x:v>
      </x:c>
      <x:c r="X67" s="10" t="str">
        <x:v>exact_complement_selection</x:v>
      </x:c>
    </x:row>
    <x:row r="68">
      <x:c r="A68" s="9" t="n">
        <x:v>64</x:v>
      </x:c>
      <x:c r="B68" s="9" t="str">
        <x:v>BKB-20260615-PAR-MON</x:v>
      </x:c>
      <x:c r="C68" s="25" t="str">
        <x:v>2026-06-15</x:v>
      </x:c>
      <x:c r="D68" s="9" t="str">
        <x:v>Basketball</x:v>
      </x:c>
      <x:c r="E68" s="9" t="str">
        <x:v>Basketball</x:v>
      </x:c>
      <x:c r="F68" s="10" t="str">
        <x:v>Paris Basketball vs Monaco</x:v>
      </x:c>
      <x:c r="G68" s="10" t="str">
        <x:v>France Betclic Elite Finals G1</x:v>
      </x:c>
      <x:c r="H68" s="10" t="str">
        <x:v>Paris -4.5 Monaco +4.5 full 179.5 Q1 44.5 1H 89.5</x:v>
      </x:c>
      <x:c r="I68" s="9" t="n">
        <x:v>1</x:v>
      </x:c>
      <x:c r="J68" s="10" t="str">
        <x:v>Full Over 179.5</x:v>
      </x:c>
      <x:c r="K68" s="9" t="str">
        <x:v>Over 179.5</x:v>
      </x:c>
      <x:c r="L68" s="23" t="n">
        <x:v>0.62</x:v>
      </x:c>
      <x:c r="M68" s="9" t="str">
        <x:v>W</x:v>
      </x:c>
      <x:c r="N68" s="9" t="n">
        <x:f>IF(M68="W",1,IF(M68="L",0,""))</x:f>
        <x:v>1</x:v>
      </x:c>
      <x:c r="O68" s="24" t="n">
        <x:f>IF(OR(M68="W",M68="L"),(L68-N68)^2,"")</x:f>
        <x:v>0.1444</x:v>
      </x:c>
      <x:c r="P68" s="9" t="str">
        <x:v>YES</x:v>
      </x:c>
      <x:c r="Q68" s="9" t="str">
        <x:v>60-69</x:v>
      </x:c>
      <x:c r="R68" s="9" t="str">
        <x:v>NO</x:v>
      </x:c>
      <x:c r="S68" s="10" t="str">
        <x:v>L'Equipe/TNT/Sofascore 2026-06-15</x:v>
      </x:c>
      <x:c r="T68" s="10" t="str">
        <x:f>IF(IFERROR(ISNUMBER(SEARCH("http",S68)),FALSE),"YES","NO")</x:f>
        <x:v>NO</x:v>
      </x:c>
      <x:c r="U68" s="10" t="str">
        <x:v>NO</x:v>
      </x:c>
      <x:c r="V68" s="10" t="str">
        <x:v>NO</x:v>
      </x:c>
      <x:c r="W68" s="10" t="str">
        <x:v>LEGACY_UNVERIFIED_SNAPSHOT: no immutable cutoff/model/source packet</x:v>
      </x:c>
      <x:c r="X68" s="10" t="str">
        <x:v>exact_complement_selection</x:v>
      </x:c>
    </x:row>
    <x:row r="69">
      <x:c r="A69" s="9" t="n">
        <x:v>65</x:v>
      </x:c>
      <x:c r="B69" s="9" t="str">
        <x:v>BKB-20260615-PAR-MON</x:v>
      </x:c>
      <x:c r="C69" s="25" t="str">
        <x:v>2026-06-15</x:v>
      </x:c>
      <x:c r="D69" s="9" t="str">
        <x:v>Basketball</x:v>
      </x:c>
      <x:c r="E69" s="9" t="str">
        <x:v>Basketball</x:v>
      </x:c>
      <x:c r="F69" s="10" t="str">
        <x:v>Paris Basketball vs Monaco</x:v>
      </x:c>
      <x:c r="G69" s="10" t="str">
        <x:v>France Betclic Elite Finals G1</x:v>
      </x:c>
      <x:c r="H69" s="10" t="str">
        <x:v>Paris -4.5 Monaco +4.5 full 179.5 Q1 44.5 1H 89.5</x:v>
      </x:c>
      <x:c r="I69" s="9" t="n">
        <x:v>2</x:v>
      </x:c>
      <x:c r="J69" s="10" t="str">
        <x:v>1H Over 89.5</x:v>
      </x:c>
      <x:c r="K69" s="9" t="str">
        <x:v>Over 89.5</x:v>
      </x:c>
      <x:c r="L69" s="23" t="n">
        <x:v>0.58</x:v>
      </x:c>
      <x:c r="M69" s="9" t="str">
        <x:v>W</x:v>
      </x:c>
      <x:c r="N69" s="9" t="n">
        <x:f>IF(M69="W",1,IF(M69="L",0,""))</x:f>
        <x:v>1</x:v>
      </x:c>
      <x:c r="O69" s="24" t="n">
        <x:f>IF(OR(M69="W",M69="L"),(L69-N69)^2,"")</x:f>
        <x:v>0.17640000000000003</x:v>
      </x:c>
      <x:c r="P69" s="9" t="str">
        <x:v>YES</x:v>
      </x:c>
      <x:c r="Q69" s="9" t="str">
        <x:v>50-59</x:v>
      </x:c>
      <x:c r="R69" s="9" t="str">
        <x:v>NO</x:v>
      </x:c>
      <x:c r="S69" s="10" t="str">
        <x:v>L'Equipe/TNT/Sofascore 2026-06-15</x:v>
      </x:c>
      <x:c r="T69" s="10" t="str">
        <x:f>IF(IFERROR(ISNUMBER(SEARCH("http",S69)),FALSE),"YES","NO")</x:f>
        <x:v>NO</x:v>
      </x:c>
      <x:c r="U69" s="10" t="str">
        <x:v>NO</x:v>
      </x:c>
      <x:c r="V69" s="10" t="str">
        <x:v>NO</x:v>
      </x:c>
      <x:c r="W69" s="10" t="str">
        <x:v>LEGACY_UNVERIFIED_SNAPSHOT: no immutable cutoff/model/source packet</x:v>
      </x:c>
      <x:c r="X69" s="10" t="str">
        <x:v>exact_complement_selection</x:v>
      </x:c>
    </x:row>
    <x:row r="70">
      <x:c r="A70" s="9" t="n">
        <x:v>66</x:v>
      </x:c>
      <x:c r="B70" s="9" t="str">
        <x:v>BKB-20260615-PAR-MON</x:v>
      </x:c>
      <x:c r="C70" s="25" t="str">
        <x:v>2026-06-15</x:v>
      </x:c>
      <x:c r="D70" s="9" t="str">
        <x:v>Basketball</x:v>
      </x:c>
      <x:c r="E70" s="9" t="str">
        <x:v>Basketball</x:v>
      </x:c>
      <x:c r="F70" s="10" t="str">
        <x:v>Paris Basketball vs Monaco</x:v>
      </x:c>
      <x:c r="G70" s="10" t="str">
        <x:v>France Betclic Elite Finals G1</x:v>
      </x:c>
      <x:c r="H70" s="10" t="str">
        <x:v>Paris -4.5 Monaco +4.5 full 179.5 Q1 44.5 1H 89.5</x:v>
      </x:c>
      <x:c r="I70" s="9" t="n">
        <x:v>3</x:v>
      </x:c>
      <x:c r="J70" s="10" t="str">
        <x:v>Monaco +4.5</x:v>
      </x:c>
      <x:c r="K70" s="9" t="str">
        <x:v>+4.5</x:v>
      </x:c>
      <x:c r="L70" s="23" t="n">
        <x:v>0.56</x:v>
      </x:c>
      <x:c r="M70" s="9" t="str">
        <x:v>W</x:v>
      </x:c>
      <x:c r="N70" s="9" t="n">
        <x:f>IF(M70="W",1,IF(M70="L",0,""))</x:f>
        <x:v>1</x:v>
      </x:c>
      <x:c r="O70" s="24" t="n">
        <x:f>IF(OR(M70="W",M70="L"),(L70-N70)^2,"")</x:f>
        <x:v>0.19359999999999997</x:v>
      </x:c>
      <x:c r="P70" s="9" t="str">
        <x:v>YES</x:v>
      </x:c>
      <x:c r="Q70" s="9" t="str">
        <x:v>50-59</x:v>
      </x:c>
      <x:c r="R70" s="9" t="str">
        <x:v>NO</x:v>
      </x:c>
      <x:c r="S70" s="10" t="str">
        <x:v>L'Equipe/TNT/Sofascore 2026-06-15</x:v>
      </x:c>
      <x:c r="T70" s="10" t="str">
        <x:f>IF(IFERROR(ISNUMBER(SEARCH("http",S70)),FALSE),"YES","NO")</x:f>
        <x:v>NO</x:v>
      </x:c>
      <x:c r="U70" s="10" t="str">
        <x:v>YES</x:v>
      </x:c>
      <x:c r="V70" s="10" t="str">
        <x:v>NO</x:v>
      </x:c>
      <x:c r="W70" s="10" t="str">
        <x:v>LEGACY_UNVERIFIED_SNAPSHOT: no immutable cutoff/model/source packet</x:v>
      </x:c>
      <x:c r="X70" s="10" t="str">
        <x:v>potential_post_event_input_text; exact_complement_selection</x:v>
      </x:c>
    </x:row>
    <x:row r="71">
      <x:c r="A71" s="9" t="n">
        <x:v>67</x:v>
      </x:c>
      <x:c r="B71" s="9" t="str">
        <x:v>BKB-20260615-PAR-MON</x:v>
      </x:c>
      <x:c r="C71" s="25" t="str">
        <x:v>2026-06-15</x:v>
      </x:c>
      <x:c r="D71" s="9" t="str">
        <x:v>Basketball</x:v>
      </x:c>
      <x:c r="E71" s="9" t="str">
        <x:v>Basketball</x:v>
      </x:c>
      <x:c r="F71" s="10" t="str">
        <x:v>Paris Basketball vs Monaco</x:v>
      </x:c>
      <x:c r="G71" s="10" t="str">
        <x:v>France Betclic Elite Finals G1</x:v>
      </x:c>
      <x:c r="H71" s="10" t="str">
        <x:v>Paris -4.5 Monaco +4.5 full 179.5 Q1 44.5 1H 89.5</x:v>
      </x:c>
      <x:c r="I71" s="9" t="n">
        <x:v>4</x:v>
      </x:c>
      <x:c r="J71" s="10" t="str">
        <x:v>Q1 Over 44.5</x:v>
      </x:c>
      <x:c r="K71" s="9" t="str">
        <x:v>Over 44.5</x:v>
      </x:c>
      <x:c r="L71" s="23" t="n">
        <x:v>0.55</x:v>
      </x:c>
      <x:c r="M71" s="9" t="str">
        <x:v>W</x:v>
      </x:c>
      <x:c r="N71" s="9" t="n">
        <x:f>IF(M71="W",1,IF(M71="L",0,""))</x:f>
        <x:v>1</x:v>
      </x:c>
      <x:c r="O71" s="24" t="n">
        <x:f>IF(OR(M71="W",M71="L"),(L71-N71)^2,"")</x:f>
        <x:v>0.20249999999999996</x:v>
      </x:c>
      <x:c r="P71" s="9" t="str">
        <x:v>YES</x:v>
      </x:c>
      <x:c r="Q71" s="9" t="str">
        <x:v>50-59</x:v>
      </x:c>
      <x:c r="R71" s="9" t="str">
        <x:v>NO</x:v>
      </x:c>
      <x:c r="S71" s="10" t="str">
        <x:v>L'Equipe/TNT/Sofascore 2026-06-15</x:v>
      </x:c>
      <x:c r="T71" s="10" t="str">
        <x:f>IF(IFERROR(ISNUMBER(SEARCH("http",S71)),FALSE),"YES","NO")</x:f>
        <x:v>NO</x:v>
      </x:c>
      <x:c r="U71" s="10" t="str">
        <x:v>NO</x:v>
      </x:c>
      <x:c r="V71" s="10" t="str">
        <x:v>NO</x:v>
      </x:c>
      <x:c r="W71" s="10" t="str">
        <x:v>LEGACY_UNVERIFIED_SNAPSHOT: no immutable cutoff/model/source packet</x:v>
      </x:c>
      <x:c r="X71" s="10" t="str">
        <x:v>exact_complement_selection</x:v>
      </x:c>
    </x:row>
    <x:row r="72">
      <x:c r="A72" s="9" t="n">
        <x:v>68</x:v>
      </x:c>
      <x:c r="B72" s="9" t="str">
        <x:v>BKB-20260615-PAR-MON</x:v>
      </x:c>
      <x:c r="C72" s="25" t="str">
        <x:v>2026-06-15</x:v>
      </x:c>
      <x:c r="D72" s="9" t="str">
        <x:v>Basketball</x:v>
      </x:c>
      <x:c r="E72" s="9" t="str">
        <x:v>Basketball</x:v>
      </x:c>
      <x:c r="F72" s="10" t="str">
        <x:v>Paris Basketball vs Monaco</x:v>
      </x:c>
      <x:c r="G72" s="10" t="str">
        <x:v>France Betclic Elite Finals G1</x:v>
      </x:c>
      <x:c r="H72" s="10" t="str">
        <x:v>Paris -4.5 Monaco +4.5 full 179.5 Q1 44.5 1H 89.5</x:v>
      </x:c>
      <x:c r="I72" s="9" t="n">
        <x:v>5</x:v>
      </x:c>
      <x:c r="J72" s="10" t="str">
        <x:v>Q1 Under 44.5</x:v>
      </x:c>
      <x:c r="K72" s="9" t="str">
        <x:v>Under 44.5</x:v>
      </x:c>
      <x:c r="L72" s="23" t="n">
        <x:v>0.45</x:v>
      </x:c>
      <x:c r="M72" s="9" t="str">
        <x:v>L</x:v>
      </x:c>
      <x:c r="N72" s="9" t="n">
        <x:f>IF(M72="W",1,IF(M72="L",0,""))</x:f>
        <x:v>0</x:v>
      </x:c>
      <x:c r="O72" s="24" t="n">
        <x:f>IF(OR(M72="W",M72="L"),(L72-N72)^2,"")</x:f>
        <x:v>0.2025</x:v>
      </x:c>
      <x:c r="P72" s="9" t="str">
        <x:v>YES</x:v>
      </x:c>
      <x:c r="Q72" s="9" t="str">
        <x:v>40-49</x:v>
      </x:c>
      <x:c r="R72" s="9" t="str">
        <x:v>NO</x:v>
      </x:c>
      <x:c r="S72" s="10" t="str">
        <x:v>L'Equipe/TNT/Sofascore 2026-06-15</x:v>
      </x:c>
      <x:c r="T72" s="10" t="str">
        <x:f>IF(IFERROR(ISNUMBER(SEARCH("http",S72)),FALSE),"YES","NO")</x:f>
        <x:v>NO</x:v>
      </x:c>
      <x:c r="U72" s="10" t="str">
        <x:v>NO</x:v>
      </x:c>
      <x:c r="V72" s="10" t="str">
        <x:v>NO</x:v>
      </x:c>
      <x:c r="W72" s="10" t="str">
        <x:v>LEGACY_UNVERIFIED_SNAPSHOT: no immutable cutoff/model/source packet</x:v>
      </x:c>
      <x:c r="X72" s="10" t="str">
        <x:v>exact_complement_selection</x:v>
      </x:c>
    </x:row>
    <x:row r="73">
      <x:c r="A73" s="9" t="n">
        <x:v>69</x:v>
      </x:c>
      <x:c r="B73" s="9" t="str">
        <x:v>BKB-20260615-PAR-MON</x:v>
      </x:c>
      <x:c r="C73" s="25" t="str">
        <x:v>2026-06-15</x:v>
      </x:c>
      <x:c r="D73" s="9" t="str">
        <x:v>Basketball</x:v>
      </x:c>
      <x:c r="E73" s="9" t="str">
        <x:v>Basketball</x:v>
      </x:c>
      <x:c r="F73" s="10" t="str">
        <x:v>Paris Basketball vs Monaco</x:v>
      </x:c>
      <x:c r="G73" s="10" t="str">
        <x:v>France Betclic Elite Finals G1</x:v>
      </x:c>
      <x:c r="H73" s="10" t="str">
        <x:v>Paris -4.5 Monaco +4.5 full 179.5 Q1 44.5 1H 89.5</x:v>
      </x:c>
      <x:c r="I73" s="9" t="n">
        <x:v>6</x:v>
      </x:c>
      <x:c r="J73" s="10" t="str">
        <x:v>Paris -4.5</x:v>
      </x:c>
      <x:c r="K73" s="9" t="str">
        <x:v>-4.5</x:v>
      </x:c>
      <x:c r="L73" s="23" t="n">
        <x:v>0.44</x:v>
      </x:c>
      <x:c r="M73" s="9" t="str">
        <x:v>L</x:v>
      </x:c>
      <x:c r="N73" s="9" t="n">
        <x:f>IF(M73="W",1,IF(M73="L",0,""))</x:f>
        <x:v>0</x:v>
      </x:c>
      <x:c r="O73" s="24" t="n">
        <x:f>IF(OR(M73="W",M73="L"),(L73-N73)^2,"")</x:f>
        <x:v>0.1936</x:v>
      </x:c>
      <x:c r="P73" s="9" t="str">
        <x:v>YES</x:v>
      </x:c>
      <x:c r="Q73" s="9" t="str">
        <x:v>40-49</x:v>
      </x:c>
      <x:c r="R73" s="9" t="str">
        <x:v>NO</x:v>
      </x:c>
      <x:c r="S73" s="10" t="str">
        <x:v>L'Equipe/TNT/Sofascore 2026-06-15</x:v>
      </x:c>
      <x:c r="T73" s="10" t="str">
        <x:f>IF(IFERROR(ISNUMBER(SEARCH("http",S73)),FALSE),"YES","NO")</x:f>
        <x:v>NO</x:v>
      </x:c>
      <x:c r="U73" s="10" t="str">
        <x:v>NO</x:v>
      </x:c>
      <x:c r="V73" s="10" t="str">
        <x:v>NO</x:v>
      </x:c>
      <x:c r="W73" s="10" t="str">
        <x:v>LEGACY_UNVERIFIED_SNAPSHOT: no immutable cutoff/model/source packet</x:v>
      </x:c>
      <x:c r="X73" s="10" t="str">
        <x:v>exact_complement_selection</x:v>
      </x:c>
    </x:row>
    <x:row r="74">
      <x:c r="A74" s="9" t="n">
        <x:v>70</x:v>
      </x:c>
      <x:c r="B74" s="9" t="str">
        <x:v>BKB-20260615-PAR-MON</x:v>
      </x:c>
      <x:c r="C74" s="25" t="str">
        <x:v>2026-06-15</x:v>
      </x:c>
      <x:c r="D74" s="9" t="str">
        <x:v>Basketball</x:v>
      </x:c>
      <x:c r="E74" s="9" t="str">
        <x:v>Basketball</x:v>
      </x:c>
      <x:c r="F74" s="10" t="str">
        <x:v>Paris Basketball vs Monaco</x:v>
      </x:c>
      <x:c r="G74" s="10" t="str">
        <x:v>France Betclic Elite Finals G1</x:v>
      </x:c>
      <x:c r="H74" s="10" t="str">
        <x:v>Paris -4.5 Monaco +4.5 full 179.5 Q1 44.5 1H 89.5</x:v>
      </x:c>
      <x:c r="I74" s="9" t="n">
        <x:v>7</x:v>
      </x:c>
      <x:c r="J74" s="10" t="str">
        <x:v>1H Under 89.5</x:v>
      </x:c>
      <x:c r="K74" s="9" t="str">
        <x:v>Under 89.5</x:v>
      </x:c>
      <x:c r="L74" s="23" t="n">
        <x:v>0.42</x:v>
      </x:c>
      <x:c r="M74" s="9" t="str">
        <x:v>L</x:v>
      </x:c>
      <x:c r="N74" s="9" t="n">
        <x:f>IF(M74="W",1,IF(M74="L",0,""))</x:f>
        <x:v>0</x:v>
      </x:c>
      <x:c r="O74" s="24" t="n">
        <x:f>IF(OR(M74="W",M74="L"),(L74-N74)^2,"")</x:f>
        <x:v>0.17639999999999997</x:v>
      </x:c>
      <x:c r="P74" s="9" t="str">
        <x:v>YES</x:v>
      </x:c>
      <x:c r="Q74" s="9" t="str">
        <x:v>40-49</x:v>
      </x:c>
      <x:c r="R74" s="9" t="str">
        <x:v>NO</x:v>
      </x:c>
      <x:c r="S74" s="10" t="str">
        <x:v>L'Equipe/TNT/Sofascore 2026-06-15</x:v>
      </x:c>
      <x:c r="T74" s="10" t="str">
        <x:f>IF(IFERROR(ISNUMBER(SEARCH("http",S74)),FALSE),"YES","NO")</x:f>
        <x:v>NO</x:v>
      </x:c>
      <x:c r="U74" s="10" t="str">
        <x:v>NO</x:v>
      </x:c>
      <x:c r="V74" s="10" t="str">
        <x:v>NO</x:v>
      </x:c>
      <x:c r="W74" s="10" t="str">
        <x:v>LEGACY_UNVERIFIED_SNAPSHOT: no immutable cutoff/model/source packet</x:v>
      </x:c>
      <x:c r="X74" s="10" t="str">
        <x:v>exact_complement_selection</x:v>
      </x:c>
    </x:row>
    <x:row r="75">
      <x:c r="A75" s="9" t="n">
        <x:v>71</x:v>
      </x:c>
      <x:c r="B75" s="9" t="str">
        <x:v>BKB-20260615-PAR-MON</x:v>
      </x:c>
      <x:c r="C75" s="25" t="str">
        <x:v>2026-06-15</x:v>
      </x:c>
      <x:c r="D75" s="9" t="str">
        <x:v>Basketball</x:v>
      </x:c>
      <x:c r="E75" s="9" t="str">
        <x:v>Basketball</x:v>
      </x:c>
      <x:c r="F75" s="10" t="str">
        <x:v>Paris Basketball vs Monaco</x:v>
      </x:c>
      <x:c r="G75" s="10" t="str">
        <x:v>France Betclic Elite Finals G1</x:v>
      </x:c>
      <x:c r="H75" s="10" t="str">
        <x:v>Paris -4.5 Monaco +4.5 full 179.5 Q1 44.5 1H 89.5</x:v>
      </x:c>
      <x:c r="I75" s="9" t="n">
        <x:v>8</x:v>
      </x:c>
      <x:c r="J75" s="10" t="str">
        <x:v>Full Under 179.5</x:v>
      </x:c>
      <x:c r="K75" s="9" t="str">
        <x:v>Under 179.5</x:v>
      </x:c>
      <x:c r="L75" s="23" t="n">
        <x:v>0.38</x:v>
      </x:c>
      <x:c r="M75" s="9" t="str">
        <x:v>L</x:v>
      </x:c>
      <x:c r="N75" s="9" t="n">
        <x:f>IF(M75="W",1,IF(M75="L",0,""))</x:f>
        <x:v>0</x:v>
      </x:c>
      <x:c r="O75" s="24" t="n">
        <x:f>IF(OR(M75="W",M75="L"),(L75-N75)^2,"")</x:f>
        <x:v>0.1444</x:v>
      </x:c>
      <x:c r="P75" s="9" t="str">
        <x:v>YES</x:v>
      </x:c>
      <x:c r="Q75" s="9" t="str">
        <x:v>30-39</x:v>
      </x:c>
      <x:c r="R75" s="9" t="str">
        <x:v>NO</x:v>
      </x:c>
      <x:c r="S75" s="10" t="str">
        <x:v>L'Equipe/TNT/Sofascore 2026-06-15</x:v>
      </x:c>
      <x:c r="T75" s="10" t="str">
        <x:f>IF(IFERROR(ISNUMBER(SEARCH("http",S75)),FALSE),"YES","NO")</x:f>
        <x:v>NO</x:v>
      </x:c>
      <x:c r="U75" s="10" t="str">
        <x:v>NO</x:v>
      </x:c>
      <x:c r="V75" s="10" t="str">
        <x:v>NO</x:v>
      </x:c>
      <x:c r="W75" s="10" t="str">
        <x:v>LEGACY_UNVERIFIED_SNAPSHOT: no immutable cutoff/model/source packet</x:v>
      </x:c>
      <x:c r="X75" s="10" t="str">
        <x:v>exact_complement_selection</x:v>
      </x:c>
    </x:row>
    <x:row r="76">
      <x:c r="A76" s="9" t="n">
        <x:v>72</x:v>
      </x:c>
      <x:c r="B76" s="9" t="str">
        <x:v>MLB-20260615-MIA-PIT</x:v>
      </x:c>
      <x:c r="C76" s="25" t="str">
        <x:v>2026-06-15</x:v>
      </x:c>
      <x:c r="D76" s="9" t="str">
        <x:v>Baseball</x:v>
      </x:c>
      <x:c r="E76" s="9" t="str">
        <x:v>Baseball</x:v>
      </x:c>
      <x:c r="F76" s="10" t="str">
        <x:v>Miami Marlins at Pittsburgh Pirates</x:v>
      </x:c>
      <x:c r="G76" s="10" t="str">
        <x:v>MLB regular season</x:v>
      </x:c>
      <x:c r="H76" s="10" t="str">
        <x:v>Marlins +1.5 Pirates ML full total 7.5</x:v>
      </x:c>
      <x:c r="I76" s="9" t="n">
        <x:v>1</x:v>
      </x:c>
      <x:c r="J76" s="10" t="str">
        <x:v>Marlins +1.5</x:v>
      </x:c>
      <x:c r="K76" s="9" t="str">
        <x:v>+1.5</x:v>
      </x:c>
      <x:c r="L76" s="23" t="n">
        <x:v>0.58</x:v>
      </x:c>
      <x:c r="M76" s="9" t="str">
        <x:v>W</x:v>
      </x:c>
      <x:c r="N76" s="9" t="n">
        <x:f>IF(M76="W",1,IF(M76="L",0,""))</x:f>
        <x:v>1</x:v>
      </x:c>
      <x:c r="O76" s="24" t="n">
        <x:f>IF(OR(M76="W",M76="L"),(L76-N76)^2,"")</x:f>
        <x:v>0.17640000000000003</x:v>
      </x:c>
      <x:c r="P76" s="9" t="str">
        <x:v>NO</x:v>
      </x:c>
      <x:c r="Q76" s="9" t="str">
        <x:v>50-59</x:v>
      </x:c>
      <x:c r="R76" s="9" t="str">
        <x:v>NO</x:v>
      </x:c>
      <x:c r="S76" s="10" t="str">
        <x:v>MLB game story/CBS AP 2026-06-15</x:v>
      </x:c>
      <x:c r="T76" s="10" t="str">
        <x:f>IF(IFERROR(ISNUMBER(SEARCH("http",S76)),FALSE),"YES","NO")</x:f>
        <x:v>NO</x:v>
      </x:c>
      <x:c r="U76" s="10" t="str">
        <x:v>NO</x:v>
      </x:c>
      <x:c r="V76" s="10" t="str">
        <x:v>NO</x:v>
      </x:c>
      <x:c r="W76" s="10" t="str">
        <x:v>LEGACY_UNVERIFIED_SNAPSHOT: no immutable cutoff/model/source packet</x:v>
      </x:c>
      <x:c r="X76" s="10" t="str">
        <x:v>legacy schema only</x:v>
      </x:c>
    </x:row>
    <x:row r="77">
      <x:c r="A77" s="9" t="n">
        <x:v>73</x:v>
      </x:c>
      <x:c r="B77" s="9" t="str">
        <x:v>MLB-20260615-MIA-PIT</x:v>
      </x:c>
      <x:c r="C77" s="25" t="str">
        <x:v>2026-06-15</x:v>
      </x:c>
      <x:c r="D77" s="9" t="str">
        <x:v>Baseball</x:v>
      </x:c>
      <x:c r="E77" s="9" t="str">
        <x:v>Baseball</x:v>
      </x:c>
      <x:c r="F77" s="10" t="str">
        <x:v>Miami Marlins at Pittsburgh Pirates</x:v>
      </x:c>
      <x:c r="G77" s="10" t="str">
        <x:v>MLB regular season</x:v>
      </x:c>
      <x:c r="H77" s="10" t="str">
        <x:v>Marlins +1.5 Pirates ML full total 7.5</x:v>
      </x:c>
      <x:c r="I77" s="9" t="n">
        <x:v>2</x:v>
      </x:c>
      <x:c r="J77" s="10" t="str">
        <x:v>Under 7.5</x:v>
      </x:c>
      <x:c r="K77" s="9" t="str">
        <x:v>Under 7.5</x:v>
      </x:c>
      <x:c r="L77" s="23" t="n">
        <x:v>0.55</x:v>
      </x:c>
      <x:c r="M77" s="9" t="str">
        <x:v>W</x:v>
      </x:c>
      <x:c r="N77" s="9" t="n">
        <x:f>IF(M77="W",1,IF(M77="L",0,""))</x:f>
        <x:v>1</x:v>
      </x:c>
      <x:c r="O77" s="24" t="n">
        <x:f>IF(OR(M77="W",M77="L"),(L77-N77)^2,"")</x:f>
        <x:v>0.20249999999999996</x:v>
      </x:c>
      <x:c r="P77" s="9" t="str">
        <x:v>YES</x:v>
      </x:c>
      <x:c r="Q77" s="9" t="str">
        <x:v>50-59</x:v>
      </x:c>
      <x:c r="R77" s="9" t="str">
        <x:v>NO</x:v>
      </x:c>
      <x:c r="S77" s="10" t="str">
        <x:v>MLB game story/CBS AP 2026-06-15</x:v>
      </x:c>
      <x:c r="T77" s="10" t="str">
        <x:f>IF(IFERROR(ISNUMBER(SEARCH("http",S77)),FALSE),"YES","NO")</x:f>
        <x:v>NO</x:v>
      </x:c>
      <x:c r="U77" s="10" t="str">
        <x:v>NO</x:v>
      </x:c>
      <x:c r="V77" s="10" t="str">
        <x:v>NO</x:v>
      </x:c>
      <x:c r="W77" s="10" t="str">
        <x:v>LEGACY_UNVERIFIED_SNAPSHOT: no immutable cutoff/model/source packet</x:v>
      </x:c>
      <x:c r="X77" s="10" t="str">
        <x:v>exact_complement_selection</x:v>
      </x:c>
    </x:row>
    <x:row r="78">
      <x:c r="A78" s="9" t="n">
        <x:v>74</x:v>
      </x:c>
      <x:c r="B78" s="9" t="str">
        <x:v>MLB-20260615-MIA-PIT</x:v>
      </x:c>
      <x:c r="C78" s="25" t="str">
        <x:v>2026-06-15</x:v>
      </x:c>
      <x:c r="D78" s="9" t="str">
        <x:v>Baseball</x:v>
      </x:c>
      <x:c r="E78" s="9" t="str">
        <x:v>Baseball</x:v>
      </x:c>
      <x:c r="F78" s="10" t="str">
        <x:v>Miami Marlins at Pittsburgh Pirates</x:v>
      </x:c>
      <x:c r="G78" s="10" t="str">
        <x:v>MLB regular season</x:v>
      </x:c>
      <x:c r="H78" s="10" t="str">
        <x:v>Marlins +1.5 Pirates ML full total 7.5</x:v>
      </x:c>
      <x:c r="I78" s="9" t="n">
        <x:v>3</x:v>
      </x:c>
      <x:c r="J78" s="10" t="str">
        <x:v>Pirates ML</x:v>
      </x:c>
      <x:c r="K78" s="9" t="str">
        <x:v>ML</x:v>
      </x:c>
      <x:c r="L78" s="23" t="n">
        <x:v>0.53</x:v>
      </x:c>
      <x:c r="M78" s="9" t="str">
        <x:v>L</x:v>
      </x:c>
      <x:c r="N78" s="9" t="n">
        <x:f>IF(M78="W",1,IF(M78="L",0,""))</x:f>
        <x:v>0</x:v>
      </x:c>
      <x:c r="O78" s="24" t="n">
        <x:f>IF(OR(M78="W",M78="L"),(L78-N78)^2,"")</x:f>
        <x:v>0.28090000000000004</x:v>
      </x:c>
      <x:c r="P78" s="9" t="str">
        <x:v>NO</x:v>
      </x:c>
      <x:c r="Q78" s="9" t="str">
        <x:v>50-59</x:v>
      </x:c>
      <x:c r="R78" s="9" t="str">
        <x:v>NO</x:v>
      </x:c>
      <x:c r="S78" s="10" t="str">
        <x:v>MLB game story/CBS AP 2026-06-15</x:v>
      </x:c>
      <x:c r="T78" s="10" t="str">
        <x:f>IF(IFERROR(ISNUMBER(SEARCH("http",S78)),FALSE),"YES","NO")</x:f>
        <x:v>NO</x:v>
      </x:c>
      <x:c r="U78" s="10" t="str">
        <x:v>NO</x:v>
      </x:c>
      <x:c r="V78" s="10" t="str">
        <x:v>NO</x:v>
      </x:c>
      <x:c r="W78" s="10" t="str">
        <x:v>LEGACY_UNVERIFIED_SNAPSHOT: no immutable cutoff/model/source packet</x:v>
      </x:c>
      <x:c r="X78" s="10" t="str">
        <x:v>projection_error</x:v>
      </x:c>
    </x:row>
    <x:row r="79">
      <x:c r="A79" s="9" t="n">
        <x:v>75</x:v>
      </x:c>
      <x:c r="B79" s="9" t="str">
        <x:v>MLB-20260615-MIA-PIT</x:v>
      </x:c>
      <x:c r="C79" s="25" t="str">
        <x:v>2026-06-15</x:v>
      </x:c>
      <x:c r="D79" s="9" t="str">
        <x:v>Baseball</x:v>
      </x:c>
      <x:c r="E79" s="9" t="str">
        <x:v>Baseball</x:v>
      </x:c>
      <x:c r="F79" s="10" t="str">
        <x:v>Miami Marlins at Pittsburgh Pirates</x:v>
      </x:c>
      <x:c r="G79" s="10" t="str">
        <x:v>MLB regular season</x:v>
      </x:c>
      <x:c r="H79" s="10" t="str">
        <x:v>Marlins +1.5 Pirates ML full total 7.5</x:v>
      </x:c>
      <x:c r="I79" s="9" t="n">
        <x:v>4</x:v>
      </x:c>
      <x:c r="J79" s="10" t="str">
        <x:v>Over 7.5</x:v>
      </x:c>
      <x:c r="K79" s="9" t="str">
        <x:v>Over 7.5</x:v>
      </x:c>
      <x:c r="L79" s="23" t="n">
        <x:v>0.45</x:v>
      </x:c>
      <x:c r="M79" s="9" t="str">
        <x:v>L</x:v>
      </x:c>
      <x:c r="N79" s="9" t="n">
        <x:f>IF(M79="W",1,IF(M79="L",0,""))</x:f>
        <x:v>0</x:v>
      </x:c>
      <x:c r="O79" s="24" t="n">
        <x:f>IF(OR(M79="W",M79="L"),(L79-N79)^2,"")</x:f>
        <x:v>0.2025</x:v>
      </x:c>
      <x:c r="P79" s="9" t="str">
        <x:v>YES</x:v>
      </x:c>
      <x:c r="Q79" s="9" t="str">
        <x:v>40-49</x:v>
      </x:c>
      <x:c r="R79" s="9" t="str">
        <x:v>NO</x:v>
      </x:c>
      <x:c r="S79" s="10" t="str">
        <x:v>MLB game story/CBS AP 2026-06-15</x:v>
      </x:c>
      <x:c r="T79" s="10" t="str">
        <x:f>IF(IFERROR(ISNUMBER(SEARCH("http",S79)),FALSE),"YES","NO")</x:f>
        <x:v>NO</x:v>
      </x:c>
      <x:c r="U79" s="10" t="str">
        <x:v>NO</x:v>
      </x:c>
      <x:c r="V79" s="10" t="str">
        <x:v>NO</x:v>
      </x:c>
      <x:c r="W79" s="10" t="str">
        <x:v>LEGACY_UNVERIFIED_SNAPSHOT: no immutable cutoff/model/source packet</x:v>
      </x:c>
      <x:c r="X79" s="10" t="str">
        <x:v>exact_complement_selection</x:v>
      </x:c>
    </x:row>
    <x:row r="80">
      <x:c r="A80" s="9" t="n">
        <x:v>76</x:v>
      </x:c>
      <x:c r="B80" s="9" t="str">
        <x:v>CRIC-20260615-WI-SL</x:v>
      </x:c>
      <x:c r="C80" s="25" t="str">
        <x:v>2026-06-15</x:v>
      </x:c>
      <x:c r="D80" s="9" t="str">
        <x:v>Cricket</x:v>
      </x:c>
      <x:c r="E80" s="9" t="str">
        <x:v>Cricket</x:v>
      </x:c>
      <x:c r="F80" s="10" t="str">
        <x:v>West Indies vs Sri Lanka</x:v>
      </x:c>
      <x:c r="G80" s="10" t="str">
        <x:v>Sri Lanka tour of West Indies 3rd T20I</x:v>
      </x:c>
      <x:c r="H80" s="10" t="str">
        <x:v>Sri Lanka innings 174.5 and first-6 51.5</x:v>
      </x:c>
      <x:c r="I80" s="9" t="n">
        <x:v>1</x:v>
      </x:c>
      <x:c r="J80" s="10" t="str">
        <x:v>Sri Lanka first-6 Under 51.5</x:v>
      </x:c>
      <x:c r="K80" s="9" t="str">
        <x:v>Under 51.5</x:v>
      </x:c>
      <x:c r="L80" s="23" t="n">
        <x:v>0.68</x:v>
      </x:c>
      <x:c r="M80" s="9" t="str">
        <x:v>W</x:v>
      </x:c>
      <x:c r="N80" s="9" t="n">
        <x:f>IF(M80="W",1,IF(M80="L",0,""))</x:f>
        <x:v>1</x:v>
      </x:c>
      <x:c r="O80" s="24" t="n">
        <x:f>IF(OR(M80="W",M80="L"),(L80-N80)^2,"")</x:f>
        <x:v>0.10239999999999996</x:v>
      </x:c>
      <x:c r="P80" s="9" t="str">
        <x:v>YES</x:v>
      </x:c>
      <x:c r="Q80" s="9" t="str">
        <x:v>60-69</x:v>
      </x:c>
      <x:c r="R80" s="9" t="str">
        <x:v>NO</x:v>
      </x:c>
      <x:c r="S80" s="10" t="str">
        <x:v>Cricbuzz live scorecard 2026-06-15</x:v>
      </x:c>
      <x:c r="T80" s="10" t="str">
        <x:f>IF(IFERROR(ISNUMBER(SEARCH("http",S80)),FALSE),"YES","NO")</x:f>
        <x:v>NO</x:v>
      </x:c>
      <x:c r="U80" s="10" t="str">
        <x:v>NO</x:v>
      </x:c>
      <x:c r="V80" s="10" t="str">
        <x:v>NO</x:v>
      </x:c>
      <x:c r="W80" s="10" t="str">
        <x:v>LEGACY_UNVERIFIED_SNAPSHOT: no immutable cutoff/model/source packet</x:v>
      </x:c>
      <x:c r="X80" s="10" t="str">
        <x:v>exact_complement_selection</x:v>
      </x:c>
    </x:row>
    <x:row r="81">
      <x:c r="A81" s="9" t="n">
        <x:v>77</x:v>
      </x:c>
      <x:c r="B81" s="9" t="str">
        <x:v>CRIC-20260615-WI-SL</x:v>
      </x:c>
      <x:c r="C81" s="25" t="str">
        <x:v>2026-06-15</x:v>
      </x:c>
      <x:c r="D81" s="9" t="str">
        <x:v>Cricket</x:v>
      </x:c>
      <x:c r="E81" s="9" t="str">
        <x:v>Cricket</x:v>
      </x:c>
      <x:c r="F81" s="10" t="str">
        <x:v>West Indies vs Sri Lanka</x:v>
      </x:c>
      <x:c r="G81" s="10" t="str">
        <x:v>Sri Lanka tour of West Indies 3rd T20I</x:v>
      </x:c>
      <x:c r="H81" s="10" t="str">
        <x:v>Sri Lanka innings 174.5 and first-6 51.5</x:v>
      </x:c>
      <x:c r="I81" s="9" t="n">
        <x:v>4</x:v>
      </x:c>
      <x:c r="J81" s="10" t="str">
        <x:v>Sri Lanka first-6 Over 51.5</x:v>
      </x:c>
      <x:c r="K81" s="9" t="str">
        <x:v>Over 51.5</x:v>
      </x:c>
      <x:c r="L81" s="23" t="n">
        <x:v>0.32</x:v>
      </x:c>
      <x:c r="M81" s="9" t="str">
        <x:v>L</x:v>
      </x:c>
      <x:c r="N81" s="9" t="n">
        <x:f>IF(M81="W",1,IF(M81="L",0,""))</x:f>
        <x:v>0</x:v>
      </x:c>
      <x:c r="O81" s="24" t="n">
        <x:f>IF(OR(M81="W",M81="L"),(L81-N81)^2,"")</x:f>
        <x:v>0.1024</x:v>
      </x:c>
      <x:c r="P81" s="9" t="str">
        <x:v>YES</x:v>
      </x:c>
      <x:c r="Q81" s="9" t="str">
        <x:v>30-39</x:v>
      </x:c>
      <x:c r="R81" s="9" t="str">
        <x:v>NO</x:v>
      </x:c>
      <x:c r="S81" s="10" t="str">
        <x:v>Cricbuzz live scorecard 2026-06-15</x:v>
      </x:c>
      <x:c r="T81" s="10" t="str">
        <x:f>IF(IFERROR(ISNUMBER(SEARCH("http",S81)),FALSE),"YES","NO")</x:f>
        <x:v>NO</x:v>
      </x:c>
      <x:c r="U81" s="10" t="str">
        <x:v>NO</x:v>
      </x:c>
      <x:c r="V81" s="10" t="str">
        <x:v>NO</x:v>
      </x:c>
      <x:c r="W81" s="10" t="str">
        <x:v>LEGACY_UNVERIFIED_SNAPSHOT: no immutable cutoff/model/source packet</x:v>
      </x:c>
      <x:c r="X81" s="10" t="str">
        <x:v>source_error; exact_complement_selection</x:v>
      </x:c>
    </x:row>
    <x:row r="82">
      <x:c r="A82" s="9" t="n">
        <x:v>78</x:v>
      </x:c>
      <x:c r="B82" s="9" t="str">
        <x:v>CRIC-20260615-WI-SL</x:v>
      </x:c>
      <x:c r="C82" s="25" t="str">
        <x:v>2026-06-15</x:v>
      </x:c>
      <x:c r="D82" s="9" t="str">
        <x:v>Cricket</x:v>
      </x:c>
      <x:c r="E82" s="9" t="str">
        <x:v>Cricket</x:v>
      </x:c>
      <x:c r="F82" s="10" t="str">
        <x:v>West Indies vs Sri Lanka</x:v>
      </x:c>
      <x:c r="G82" s="10" t="str">
        <x:v>Sri Lanka tour of West Indies 3rd T20I</x:v>
      </x:c>
      <x:c r="H82" s="10" t="str">
        <x:v>Sri Lanka innings 174.5 and first-6 51.5</x:v>
      </x:c>
      <x:c r="I82" s="9" t="n">
        <x:v>2</x:v>
      </x:c>
      <x:c r="J82" s="10" t="str">
        <x:v>Sri Lanka innings Under 174.5</x:v>
      </x:c>
      <x:c r="K82" s="9" t="str">
        <x:v>Under 174.5</x:v>
      </x:c>
      <x:c r="L82" s="23" t="n">
        <x:v>0.58</x:v>
      </x:c>
      <x:c r="M82" s="9" t="str">
        <x:v>W</x:v>
      </x:c>
      <x:c r="N82" s="9" t="n">
        <x:f>IF(M82="W",1,IF(M82="L",0,""))</x:f>
        <x:v>1</x:v>
      </x:c>
      <x:c r="O82" s="24" t="n">
        <x:f>IF(OR(M82="W",M82="L"),(L82-N82)^2,"")</x:f>
        <x:v>0.17640000000000003</x:v>
      </x:c>
      <x:c r="P82" s="9" t="str">
        <x:v>YES</x:v>
      </x:c>
      <x:c r="Q82" s="9" t="str">
        <x:v>50-59</x:v>
      </x:c>
      <x:c r="R82" s="9" t="str">
        <x:v>NO</x:v>
      </x:c>
      <x:c r="S82" s="10" t="str">
        <x:v>Cricbuzz/ESPNcricinfo 2026-06-16</x:v>
      </x:c>
      <x:c r="T82" s="10" t="str">
        <x:f>IF(IFERROR(ISNUMBER(SEARCH("http",S82)),FALSE),"YES","NO")</x:f>
        <x:v>NO</x:v>
      </x:c>
      <x:c r="U82" s="10" t="str">
        <x:v>NO</x:v>
      </x:c>
      <x:c r="V82" s="10" t="str">
        <x:v>NO</x:v>
      </x:c>
      <x:c r="W82" s="10" t="str">
        <x:v>LEGACY_UNVERIFIED_SNAPSHOT: no immutable cutoff/model/source packet</x:v>
      </x:c>
      <x:c r="X82" s="10" t="str">
        <x:v>exact_complement_selection</x:v>
      </x:c>
    </x:row>
    <x:row r="83">
      <x:c r="A83" s="9" t="n">
        <x:v>79</x:v>
      </x:c>
      <x:c r="B83" s="9" t="str">
        <x:v>CRIC-20260615-WI-SL</x:v>
      </x:c>
      <x:c r="C83" s="25" t="str">
        <x:v>2026-06-15</x:v>
      </x:c>
      <x:c r="D83" s="9" t="str">
        <x:v>Cricket</x:v>
      </x:c>
      <x:c r="E83" s="9" t="str">
        <x:v>Cricket</x:v>
      </x:c>
      <x:c r="F83" s="10" t="str">
        <x:v>West Indies vs Sri Lanka</x:v>
      </x:c>
      <x:c r="G83" s="10" t="str">
        <x:v>Sri Lanka tour of West Indies 3rd T20I</x:v>
      </x:c>
      <x:c r="H83" s="10" t="str">
        <x:v>Sri Lanka innings 174.5 and first-6 51.5</x:v>
      </x:c>
      <x:c r="I83" s="9" t="n">
        <x:v>3</x:v>
      </x:c>
      <x:c r="J83" s="10" t="str">
        <x:v>Sri Lanka innings Over 174.5</x:v>
      </x:c>
      <x:c r="K83" s="9" t="str">
        <x:v>Over 174.5</x:v>
      </x:c>
      <x:c r="L83" s="23" t="n">
        <x:v>0.42</x:v>
      </x:c>
      <x:c r="M83" s="9" t="str">
        <x:v>L</x:v>
      </x:c>
      <x:c r="N83" s="9" t="n">
        <x:f>IF(M83="W",1,IF(M83="L",0,""))</x:f>
        <x:v>0</x:v>
      </x:c>
      <x:c r="O83" s="24" t="n">
        <x:f>IF(OR(M83="W",M83="L"),(L83-N83)^2,"")</x:f>
        <x:v>0.17639999999999997</x:v>
      </x:c>
      <x:c r="P83" s="9" t="str">
        <x:v>YES</x:v>
      </x:c>
      <x:c r="Q83" s="9" t="str">
        <x:v>40-49</x:v>
      </x:c>
      <x:c r="R83" s="9" t="str">
        <x:v>NO</x:v>
      </x:c>
      <x:c r="S83" s="10" t="str">
        <x:v>Cricbuzz/ESPNcricinfo 2026-06-16</x:v>
      </x:c>
      <x:c r="T83" s="10" t="str">
        <x:f>IF(IFERROR(ISNUMBER(SEARCH("http",S83)),FALSE),"YES","NO")</x:f>
        <x:v>NO</x:v>
      </x:c>
      <x:c r="U83" s="10" t="str">
        <x:v>NO</x:v>
      </x:c>
      <x:c r="V83" s="10" t="str">
        <x:v>NO</x:v>
      </x:c>
      <x:c r="W83" s="10" t="str">
        <x:v>LEGACY_UNVERIFIED_SNAPSHOT: no immutable cutoff/model/source packet</x:v>
      </x:c>
      <x:c r="X83" s="10" t="str">
        <x:v>exact_complement_selection</x:v>
      </x:c>
    </x:row>
    <x:row r="84">
      <x:c r="A84" s="9" t="n">
        <x:v>80</x:v>
      </x:c>
      <x:c r="B84" s="9" t="str">
        <x:v>SOC-20260615-SWE-TUN</x:v>
      </x:c>
      <x:c r="C84" s="25" t="str">
        <x:v>2026-06-15</x:v>
      </x:c>
      <x:c r="D84" s="9" t="str">
        <x:v>Soccer</x:v>
      </x:c>
      <x:c r="E84" s="9" t="str">
        <x:v>Soccer</x:v>
      </x:c>
      <x:c r="F84" s="10" t="str">
        <x:v>Sweden vs Tunisia</x:v>
      </x:c>
      <x:c r="G84" s="10" t="str">
        <x:v>FIFA World Cup Group F</x:v>
      </x:c>
      <x:c r="H84" s="10" t="str">
        <x:v>1H goals 0.5 full goals 1.5 and 2.5</x:v>
      </x:c>
      <x:c r="I84" s="9" t="n">
        <x:v>1</x:v>
      </x:c>
      <x:c r="J84" s="10" t="str">
        <x:v>Total Over 1.5</x:v>
      </x:c>
      <x:c r="K84" s="9" t="str">
        <x:v>Over 1.5</x:v>
      </x:c>
      <x:c r="L84" s="23" t="n">
        <x:v>0.64</x:v>
      </x:c>
      <x:c r="M84" s="9" t="str">
        <x:v>W</x:v>
      </x:c>
      <x:c r="N84" s="9" t="n">
        <x:f>IF(M84="W",1,IF(M84="L",0,""))</x:f>
        <x:v>1</x:v>
      </x:c>
      <x:c r="O84" s="24" t="n">
        <x:f>IF(OR(M84="W",M84="L"),(L84-N84)^2,"")</x:f>
        <x:v>0.1296</x:v>
      </x:c>
      <x:c r="P84" s="9" t="str">
        <x:v>YES</x:v>
      </x:c>
      <x:c r="Q84" s="9" t="str">
        <x:v>60-69</x:v>
      </x:c>
      <x:c r="R84" s="9" t="str">
        <x:v>NO</x:v>
      </x:c>
      <x:c r="S84" s="10" t="str">
        <x:v>Guardian/ESPN 2026-06-16</x:v>
      </x:c>
      <x:c r="T84" s="10" t="str">
        <x:f>IF(IFERROR(ISNUMBER(SEARCH("http",S84)),FALSE),"YES","NO")</x:f>
        <x:v>NO</x:v>
      </x:c>
      <x:c r="U84" s="10" t="str">
        <x:v>NO</x:v>
      </x:c>
      <x:c r="V84" s="10" t="str">
        <x:v>NO</x:v>
      </x:c>
      <x:c r="W84" s="10" t="str">
        <x:v>LEGACY_UNVERIFIED_SNAPSHOT: no immutable cutoff/model/source packet</x:v>
      </x:c>
      <x:c r="X84" s="10" t="str">
        <x:v>exact_complement_selection</x:v>
      </x:c>
    </x:row>
    <x:row r="85">
      <x:c r="A85" s="9" t="n">
        <x:v>81</x:v>
      </x:c>
      <x:c r="B85" s="9" t="str">
        <x:v>SOC-20260615-SWE-TUN</x:v>
      </x:c>
      <x:c r="C85" s="25" t="str">
        <x:v>2026-06-15</x:v>
      </x:c>
      <x:c r="D85" s="9" t="str">
        <x:v>Soccer</x:v>
      </x:c>
      <x:c r="E85" s="9" t="str">
        <x:v>Soccer</x:v>
      </x:c>
      <x:c r="F85" s="10" t="str">
        <x:v>Sweden vs Tunisia</x:v>
      </x:c>
      <x:c r="G85" s="10" t="str">
        <x:v>FIFA World Cup Group F</x:v>
      </x:c>
      <x:c r="H85" s="10" t="str">
        <x:v>1H goals 0.5 full goals 1.5 and 2.5</x:v>
      </x:c>
      <x:c r="I85" s="9" t="n">
        <x:v>2</x:v>
      </x:c>
      <x:c r="J85" s="10" t="str">
        <x:v>Total Under 2.5</x:v>
      </x:c>
      <x:c r="K85" s="9" t="str">
        <x:v>Under 2.5</x:v>
      </x:c>
      <x:c r="L85" s="23" t="n">
        <x:v>0.58</x:v>
      </x:c>
      <x:c r="M85" s="9" t="str">
        <x:v>L</x:v>
      </x:c>
      <x:c r="N85" s="9" t="n">
        <x:f>IF(M85="W",1,IF(M85="L",0,""))</x:f>
        <x:v>0</x:v>
      </x:c>
      <x:c r="O85" s="24" t="n">
        <x:f>IF(OR(M85="W",M85="L"),(L85-N85)^2,"")</x:f>
        <x:v>0.3364</x:v>
      </x:c>
      <x:c r="P85" s="9" t="str">
        <x:v>YES</x:v>
      </x:c>
      <x:c r="Q85" s="9" t="str">
        <x:v>50-59</x:v>
      </x:c>
      <x:c r="R85" s="9" t="str">
        <x:v>NO</x:v>
      </x:c>
      <x:c r="S85" s="10" t="str">
        <x:v>Guardian/ESPN 2026-06-16</x:v>
      </x:c>
      <x:c r="T85" s="10" t="str">
        <x:f>IF(IFERROR(ISNUMBER(SEARCH("http",S85)),FALSE),"YES","NO")</x:f>
        <x:v>NO</x:v>
      </x:c>
      <x:c r="U85" s="10" t="str">
        <x:v>NO</x:v>
      </x:c>
      <x:c r="V85" s="10" t="str">
        <x:v>NO</x:v>
      </x:c>
      <x:c r="W85" s="10" t="str">
        <x:v>LEGACY_UNVERIFIED_SNAPSHOT: no immutable cutoff/model/source packet</x:v>
      </x:c>
      <x:c r="X85" s="10" t="str">
        <x:v>projection_error; rank_error; exact_complement_selection</x:v>
      </x:c>
    </x:row>
    <x:row r="86">
      <x:c r="A86" s="9" t="n">
        <x:v>82</x:v>
      </x:c>
      <x:c r="B86" s="9" t="str">
        <x:v>SOC-20260615-SWE-TUN</x:v>
      </x:c>
      <x:c r="C86" s="25" t="str">
        <x:v>2026-06-15</x:v>
      </x:c>
      <x:c r="D86" s="9" t="str">
        <x:v>Soccer</x:v>
      </x:c>
      <x:c r="E86" s="9" t="str">
        <x:v>Soccer</x:v>
      </x:c>
      <x:c r="F86" s="10" t="str">
        <x:v>Sweden vs Tunisia</x:v>
      </x:c>
      <x:c r="G86" s="10" t="str">
        <x:v>FIFA World Cup Group F</x:v>
      </x:c>
      <x:c r="H86" s="10" t="str">
        <x:v>1H goals 0.5 full goals 1.5 and 2.5</x:v>
      </x:c>
      <x:c r="I86" s="9" t="n">
        <x:v>3</x:v>
      </x:c>
      <x:c r="J86" s="10" t="str">
        <x:v>1H Over 0.5</x:v>
      </x:c>
      <x:c r="K86" s="9" t="str">
        <x:v>Over 0.5</x:v>
      </x:c>
      <x:c r="L86" s="23" t="n">
        <x:v>0.55</x:v>
      </x:c>
      <x:c r="M86" s="9" t="str">
        <x:v>W</x:v>
      </x:c>
      <x:c r="N86" s="9" t="n">
        <x:f>IF(M86="W",1,IF(M86="L",0,""))</x:f>
        <x:v>1</x:v>
      </x:c>
      <x:c r="O86" s="24" t="n">
        <x:f>IF(OR(M86="W",M86="L"),(L86-N86)^2,"")</x:f>
        <x:v>0.20249999999999996</x:v>
      </x:c>
      <x:c r="P86" s="9" t="str">
        <x:v>YES</x:v>
      </x:c>
      <x:c r="Q86" s="9" t="str">
        <x:v>50-59</x:v>
      </x:c>
      <x:c r="R86" s="9" t="str">
        <x:v>NO</x:v>
      </x:c>
      <x:c r="S86" s="10" t="str">
        <x:v>Guardian live/report 2026-06-16</x:v>
      </x:c>
      <x:c r="T86" s="10" t="str">
        <x:f>IF(IFERROR(ISNUMBER(SEARCH("http",S86)),FALSE),"YES","NO")</x:f>
        <x:v>NO</x:v>
      </x:c>
      <x:c r="U86" s="10" t="str">
        <x:v>NO</x:v>
      </x:c>
      <x:c r="V86" s="10" t="str">
        <x:v>NO</x:v>
      </x:c>
      <x:c r="W86" s="10" t="str">
        <x:v>LEGACY_UNVERIFIED_SNAPSHOT: no immutable cutoff/model/source packet</x:v>
      </x:c>
      <x:c r="X86" s="10" t="str">
        <x:v>exact_complement_selection</x:v>
      </x:c>
    </x:row>
    <x:row r="87">
      <x:c r="A87" s="9" t="n">
        <x:v>83</x:v>
      </x:c>
      <x:c r="B87" s="9" t="str">
        <x:v>SOC-20260615-SWE-TUN</x:v>
      </x:c>
      <x:c r="C87" s="25" t="str">
        <x:v>2026-06-15</x:v>
      </x:c>
      <x:c r="D87" s="9" t="str">
        <x:v>Soccer</x:v>
      </x:c>
      <x:c r="E87" s="9" t="str">
        <x:v>Soccer</x:v>
      </x:c>
      <x:c r="F87" s="10" t="str">
        <x:v>Sweden vs Tunisia</x:v>
      </x:c>
      <x:c r="G87" s="10" t="str">
        <x:v>FIFA World Cup Group F</x:v>
      </x:c>
      <x:c r="H87" s="10" t="str">
        <x:v>1H goals 0.5 full goals 1.5 and 2.5</x:v>
      </x:c>
      <x:c r="I87" s="9" t="n">
        <x:v>4</x:v>
      </x:c>
      <x:c r="J87" s="10" t="str">
        <x:v>1H Under 0.5</x:v>
      </x:c>
      <x:c r="K87" s="9" t="str">
        <x:v>Under 0.5</x:v>
      </x:c>
      <x:c r="L87" s="23" t="n">
        <x:v>0.45</x:v>
      </x:c>
      <x:c r="M87" s="9" t="str">
        <x:v>L</x:v>
      </x:c>
      <x:c r="N87" s="9" t="n">
        <x:f>IF(M87="W",1,IF(M87="L",0,""))</x:f>
        <x:v>0</x:v>
      </x:c>
      <x:c r="O87" s="24" t="n">
        <x:f>IF(OR(M87="W",M87="L"),(L87-N87)^2,"")</x:f>
        <x:v>0.2025</x:v>
      </x:c>
      <x:c r="P87" s="9" t="str">
        <x:v>YES</x:v>
      </x:c>
      <x:c r="Q87" s="9" t="str">
        <x:v>40-49</x:v>
      </x:c>
      <x:c r="R87" s="9" t="str">
        <x:v>NO</x:v>
      </x:c>
      <x:c r="S87" s="10" t="str">
        <x:v>Guardian live/report 2026-06-16</x:v>
      </x:c>
      <x:c r="T87" s="10" t="str">
        <x:f>IF(IFERROR(ISNUMBER(SEARCH("http",S87)),FALSE),"YES","NO")</x:f>
        <x:v>NO</x:v>
      </x:c>
      <x:c r="U87" s="10" t="str">
        <x:v>NO</x:v>
      </x:c>
      <x:c r="V87" s="10" t="str">
        <x:v>NO</x:v>
      </x:c>
      <x:c r="W87" s="10" t="str">
        <x:v>LEGACY_UNVERIFIED_SNAPSHOT: no immutable cutoff/model/source packet</x:v>
      </x:c>
      <x:c r="X87" s="10" t="str">
        <x:v>exact_complement_selection</x:v>
      </x:c>
    </x:row>
    <x:row r="88">
      <x:c r="A88" s="9" t="n">
        <x:v>84</x:v>
      </x:c>
      <x:c r="B88" s="9" t="str">
        <x:v>SOC-20260615-SWE-TUN</x:v>
      </x:c>
      <x:c r="C88" s="25" t="str">
        <x:v>2026-06-15</x:v>
      </x:c>
      <x:c r="D88" s="9" t="str">
        <x:v>Soccer</x:v>
      </x:c>
      <x:c r="E88" s="9" t="str">
        <x:v>Soccer</x:v>
      </x:c>
      <x:c r="F88" s="10" t="str">
        <x:v>Sweden vs Tunisia</x:v>
      </x:c>
      <x:c r="G88" s="10" t="str">
        <x:v>FIFA World Cup Group F</x:v>
      </x:c>
      <x:c r="H88" s="10" t="str">
        <x:v>1H goals 0.5 full goals 1.5 and 2.5</x:v>
      </x:c>
      <x:c r="I88" s="9" t="n">
        <x:v>5</x:v>
      </x:c>
      <x:c r="J88" s="10" t="str">
        <x:v>Total Over 2.5</x:v>
      </x:c>
      <x:c r="K88" s="9" t="str">
        <x:v>Over 2.5</x:v>
      </x:c>
      <x:c r="L88" s="23" t="n">
        <x:v>0.42</x:v>
      </x:c>
      <x:c r="M88" s="9" t="str">
        <x:v>W</x:v>
      </x:c>
      <x:c r="N88" s="9" t="n">
        <x:f>IF(M88="W",1,IF(M88="L",0,""))</x:f>
        <x:v>1</x:v>
      </x:c>
      <x:c r="O88" s="24" t="n">
        <x:f>IF(OR(M88="W",M88="L"),(L88-N88)^2,"")</x:f>
        <x:v>0.3364000000000001</x:v>
      </x:c>
      <x:c r="P88" s="9" t="str">
        <x:v>YES</x:v>
      </x:c>
      <x:c r="Q88" s="9" t="str">
        <x:v>40-49</x:v>
      </x:c>
      <x:c r="R88" s="9" t="str">
        <x:v>NO</x:v>
      </x:c>
      <x:c r="S88" s="10" t="str">
        <x:v>Guardian/ESPN 2026-06-16</x:v>
      </x:c>
      <x:c r="T88" s="10" t="str">
        <x:f>IF(IFERROR(ISNUMBER(SEARCH("http",S88)),FALSE),"YES","NO")</x:f>
        <x:v>NO</x:v>
      </x:c>
      <x:c r="U88" s="10" t="str">
        <x:v>NO</x:v>
      </x:c>
      <x:c r="V88" s="10" t="str">
        <x:v>NO</x:v>
      </x:c>
      <x:c r="W88" s="10" t="str">
        <x:v>LEGACY_UNVERIFIED_SNAPSHOT: no immutable cutoff/model/source packet</x:v>
      </x:c>
      <x:c r="X88" s="10" t="str">
        <x:v>projection_error; rank_error; exact_complement_selection</x:v>
      </x:c>
    </x:row>
    <x:row r="89">
      <x:c r="A89" s="9" t="n">
        <x:v>85</x:v>
      </x:c>
      <x:c r="B89" s="9" t="str">
        <x:v>SOC-20260615-SWE-TUN</x:v>
      </x:c>
      <x:c r="C89" s="25" t="str">
        <x:v>2026-06-15</x:v>
      </x:c>
      <x:c r="D89" s="9" t="str">
        <x:v>Soccer</x:v>
      </x:c>
      <x:c r="E89" s="9" t="str">
        <x:v>Soccer</x:v>
      </x:c>
      <x:c r="F89" s="10" t="str">
        <x:v>Sweden vs Tunisia</x:v>
      </x:c>
      <x:c r="G89" s="10" t="str">
        <x:v>FIFA World Cup Group F</x:v>
      </x:c>
      <x:c r="H89" s="10" t="str">
        <x:v>1H goals 0.5 full goals 1.5 and 2.5</x:v>
      </x:c>
      <x:c r="I89" s="9" t="n">
        <x:v>6</x:v>
      </x:c>
      <x:c r="J89" s="10" t="str">
        <x:v>Total Under 1.5</x:v>
      </x:c>
      <x:c r="K89" s="9" t="str">
        <x:v>Under 1.5</x:v>
      </x:c>
      <x:c r="L89" s="23" t="n">
        <x:v>0.36</x:v>
      </x:c>
      <x:c r="M89" s="9" t="str">
        <x:v>L</x:v>
      </x:c>
      <x:c r="N89" s="9" t="n">
        <x:f>IF(M89="W",1,IF(M89="L",0,""))</x:f>
        <x:v>0</x:v>
      </x:c>
      <x:c r="O89" s="24" t="n">
        <x:f>IF(OR(M89="W",M89="L"),(L89-N89)^2,"")</x:f>
        <x:v>0.1296</x:v>
      </x:c>
      <x:c r="P89" s="9" t="str">
        <x:v>YES</x:v>
      </x:c>
      <x:c r="Q89" s="9" t="str">
        <x:v>30-39</x:v>
      </x:c>
      <x:c r="R89" s="9" t="str">
        <x:v>NO</x:v>
      </x:c>
      <x:c r="S89" s="10" t="str">
        <x:v>Guardian/ESPN 2026-06-16</x:v>
      </x:c>
      <x:c r="T89" s="10" t="str">
        <x:f>IF(IFERROR(ISNUMBER(SEARCH("http",S89)),FALSE),"YES","NO")</x:f>
        <x:v>NO</x:v>
      </x:c>
      <x:c r="U89" s="10" t="str">
        <x:v>NO</x:v>
      </x:c>
      <x:c r="V89" s="10" t="str">
        <x:v>NO</x:v>
      </x:c>
      <x:c r="W89" s="10" t="str">
        <x:v>LEGACY_UNVERIFIED_SNAPSHOT: no immutable cutoff/model/source packet</x:v>
      </x:c>
      <x:c r="X89" s="10" t="str">
        <x:v>exact_complement_selection</x:v>
      </x:c>
    </x:row>
    <x:row r="90">
      <x:c r="A90" s="9" t="n">
        <x:v>86</x:v>
      </x:c>
      <x:c r="B90" s="9" t="str">
        <x:v>SOC-20260616-ESP-CPV</x:v>
      </x:c>
      <x:c r="C90" s="25" t="str">
        <x:v>2026-06-16</x:v>
      </x:c>
      <x:c r="D90" s="9" t="str">
        <x:v>Soccer</x:v>
      </x:c>
      <x:c r="E90" s="9" t="str">
        <x:v>Soccer</x:v>
      </x:c>
      <x:c r="F90" s="10" t="str">
        <x:v>Spain vs Cape Verde</x:v>
      </x:c>
      <x:c r="G90" s="10" t="str">
        <x:v>FIFA World Cup Group H</x:v>
      </x:c>
      <x:c r="H90" s="10" t="str">
        <x:v>1H goals 0.5 full goals 2.5 and 3.5</x:v>
      </x:c>
      <x:c r="I90" s="9" t="n">
        <x:v>1</x:v>
      </x:c>
      <x:c r="J90" s="10" t="str">
        <x:v>1H Over 0.5</x:v>
      </x:c>
      <x:c r="K90" s="9" t="str">
        <x:v>Over 0.5</x:v>
      </x:c>
      <x:c r="L90" s="23" t="n">
        <x:v>0.76</x:v>
      </x:c>
      <x:c r="M90" s="9" t="str">
        <x:v>L</x:v>
      </x:c>
      <x:c r="N90" s="9" t="n">
        <x:f>IF(M90="W",1,IF(M90="L",0,""))</x:f>
        <x:v>0</x:v>
      </x:c>
      <x:c r="O90" s="24" t="n">
        <x:f>IF(OR(M90="W",M90="L"),(L90-N90)^2,"")</x:f>
        <x:v>0.5776</x:v>
      </x:c>
      <x:c r="P90" s="9" t="str">
        <x:v>YES</x:v>
      </x:c>
      <x:c r="Q90" s="9" t="str">
        <x:v>70-79</x:v>
      </x:c>
      <x:c r="R90" s="9" t="str">
        <x:v>NO</x:v>
      </x:c>
      <x:c r="S90" s="10" t="str">
        <x:v>Guardian live 2026-06-16</x:v>
      </x:c>
      <x:c r="T90" s="10" t="str">
        <x:f>IF(IFERROR(ISNUMBER(SEARCH("http",S90)),FALSE),"YES","NO")</x:f>
        <x:v>NO</x:v>
      </x:c>
      <x:c r="U90" s="10" t="str">
        <x:v>NO</x:v>
      </x:c>
      <x:c r="V90" s="10" t="str">
        <x:v>NO</x:v>
      </x:c>
      <x:c r="W90" s="10" t="str">
        <x:v>LEGACY_UNVERIFIED_SNAPSHOT: no immutable cutoff/model/source packet</x:v>
      </x:c>
      <x:c r="X90" s="10" t="str">
        <x:v>projection_error; rank_error; exact_complement_selection</x:v>
      </x:c>
    </x:row>
    <x:row r="91">
      <x:c r="A91" s="9" t="n">
        <x:v>87</x:v>
      </x:c>
      <x:c r="B91" s="9" t="str">
        <x:v>SOC-20260616-ESP-CPV</x:v>
      </x:c>
      <x:c r="C91" s="25" t="str">
        <x:v>2026-06-16</x:v>
      </x:c>
      <x:c r="D91" s="9" t="str">
        <x:v>Soccer</x:v>
      </x:c>
      <x:c r="E91" s="9" t="str">
        <x:v>Soccer</x:v>
      </x:c>
      <x:c r="F91" s="10" t="str">
        <x:v>Spain vs Cape Verde</x:v>
      </x:c>
      <x:c r="G91" s="10" t="str">
        <x:v>FIFA World Cup Group H</x:v>
      </x:c>
      <x:c r="H91" s="10" t="str">
        <x:v>1H goals 0.5 full goals 2.5 and 3.5</x:v>
      </x:c>
      <x:c r="I91" s="9" t="n">
        <x:v>2</x:v>
      </x:c>
      <x:c r="J91" s="10" t="str">
        <x:v>Total Over 2.5</x:v>
      </x:c>
      <x:c r="K91" s="9" t="str">
        <x:v>Over 2.5</x:v>
      </x:c>
      <x:c r="L91" s="23" t="n">
        <x:v>0.63</x:v>
      </x:c>
      <x:c r="M91" s="9" t="str">
        <x:v>L</x:v>
      </x:c>
      <x:c r="N91" s="9" t="n">
        <x:f>IF(M91="W",1,IF(M91="L",0,""))</x:f>
        <x:v>0</x:v>
      </x:c>
      <x:c r="O91" s="24" t="n">
        <x:f>IF(OR(M91="W",M91="L"),(L91-N91)^2,"")</x:f>
        <x:v>0.39690000000000003</x:v>
      </x:c>
      <x:c r="P91" s="9" t="str">
        <x:v>YES</x:v>
      </x:c>
      <x:c r="Q91" s="9" t="str">
        <x:v>60-69</x:v>
      </x:c>
      <x:c r="R91" s="9" t="str">
        <x:v>NO</x:v>
      </x:c>
      <x:c r="S91" s="10" t="str">
        <x:v>Guardian live 2026-06-16</x:v>
      </x:c>
      <x:c r="T91" s="10" t="str">
        <x:f>IF(IFERROR(ISNUMBER(SEARCH("http",S91)),FALSE),"YES","NO")</x:f>
        <x:v>NO</x:v>
      </x:c>
      <x:c r="U91" s="10" t="str">
        <x:v>NO</x:v>
      </x:c>
      <x:c r="V91" s="10" t="str">
        <x:v>NO</x:v>
      </x:c>
      <x:c r="W91" s="10" t="str">
        <x:v>LEGACY_UNVERIFIED_SNAPSHOT: no immutable cutoff/model/source packet</x:v>
      </x:c>
      <x:c r="X91" s="10" t="str">
        <x:v>projection_error; rank_error; exact_complement_selection</x:v>
      </x:c>
    </x:row>
    <x:row r="92">
      <x:c r="A92" s="9" t="n">
        <x:v>88</x:v>
      </x:c>
      <x:c r="B92" s="9" t="str">
        <x:v>SOC-20260616-ESP-CPV</x:v>
      </x:c>
      <x:c r="C92" s="25" t="str">
        <x:v>2026-06-16</x:v>
      </x:c>
      <x:c r="D92" s="9" t="str">
        <x:v>Soccer</x:v>
      </x:c>
      <x:c r="E92" s="9" t="str">
        <x:v>Soccer</x:v>
      </x:c>
      <x:c r="F92" s="10" t="str">
        <x:v>Spain vs Cape Verde</x:v>
      </x:c>
      <x:c r="G92" s="10" t="str">
        <x:v>FIFA World Cup Group H</x:v>
      </x:c>
      <x:c r="H92" s="10" t="str">
        <x:v>1H goals 0.5 full goals 2.5 and 3.5</x:v>
      </x:c>
      <x:c r="I92" s="9" t="n">
        <x:v>3</x:v>
      </x:c>
      <x:c r="J92" s="10" t="str">
        <x:v>Total Under 3.5</x:v>
      </x:c>
      <x:c r="K92" s="9" t="str">
        <x:v>Under 3.5</x:v>
      </x:c>
      <x:c r="L92" s="23" t="n">
        <x:v>0.56</x:v>
      </x:c>
      <x:c r="M92" s="9" t="str">
        <x:v>W</x:v>
      </x:c>
      <x:c r="N92" s="9" t="n">
        <x:f>IF(M92="W",1,IF(M92="L",0,""))</x:f>
        <x:v>1</x:v>
      </x:c>
      <x:c r="O92" s="24" t="n">
        <x:f>IF(OR(M92="W",M92="L"),(L92-N92)^2,"")</x:f>
        <x:v>0.19359999999999997</x:v>
      </x:c>
      <x:c r="P92" s="9" t="str">
        <x:v>YES</x:v>
      </x:c>
      <x:c r="Q92" s="9" t="str">
        <x:v>50-59</x:v>
      </x:c>
      <x:c r="R92" s="9" t="str">
        <x:v>NO</x:v>
      </x:c>
      <x:c r="S92" s="10" t="str">
        <x:v>Guardian live 2026-06-16</x:v>
      </x:c>
      <x:c r="T92" s="10" t="str">
        <x:f>IF(IFERROR(ISNUMBER(SEARCH("http",S92)),FALSE),"YES","NO")</x:f>
        <x:v>NO</x:v>
      </x:c>
      <x:c r="U92" s="10" t="str">
        <x:v>NO</x:v>
      </x:c>
      <x:c r="V92" s="10" t="str">
        <x:v>NO</x:v>
      </x:c>
      <x:c r="W92" s="10" t="str">
        <x:v>LEGACY_UNVERIFIED_SNAPSHOT: no immutable cutoff/model/source packet</x:v>
      </x:c>
      <x:c r="X92" s="10" t="str">
        <x:v>exact_complement_selection</x:v>
      </x:c>
    </x:row>
    <x:row r="93">
      <x:c r="A93" s="9" t="n">
        <x:v>89</x:v>
      </x:c>
      <x:c r="B93" s="9" t="str">
        <x:v>SOC-20260616-ESP-CPV</x:v>
      </x:c>
      <x:c r="C93" s="25" t="str">
        <x:v>2026-06-16</x:v>
      </x:c>
      <x:c r="D93" s="9" t="str">
        <x:v>Soccer</x:v>
      </x:c>
      <x:c r="E93" s="9" t="str">
        <x:v>Soccer</x:v>
      </x:c>
      <x:c r="F93" s="10" t="str">
        <x:v>Spain vs Cape Verde</x:v>
      </x:c>
      <x:c r="G93" s="10" t="str">
        <x:v>FIFA World Cup Group H</x:v>
      </x:c>
      <x:c r="H93" s="10" t="str">
        <x:v>1H goals 0.5 full goals 2.5 and 3.5</x:v>
      </x:c>
      <x:c r="I93" s="9" t="n">
        <x:v>4</x:v>
      </x:c>
      <x:c r="J93" s="10" t="str">
        <x:v>Total Over 3.5</x:v>
      </x:c>
      <x:c r="K93" s="9" t="str">
        <x:v>Over 3.5</x:v>
      </x:c>
      <x:c r="L93" s="23" t="n">
        <x:v>0.44</x:v>
      </x:c>
      <x:c r="M93" s="9" t="str">
        <x:v>L</x:v>
      </x:c>
      <x:c r="N93" s="9" t="n">
        <x:f>IF(M93="W",1,IF(M93="L",0,""))</x:f>
        <x:v>0</x:v>
      </x:c>
      <x:c r="O93" s="24" t="n">
        <x:f>IF(OR(M93="W",M93="L"),(L93-N93)^2,"")</x:f>
        <x:v>0.1936</x:v>
      </x:c>
      <x:c r="P93" s="9" t="str">
        <x:v>YES</x:v>
      </x:c>
      <x:c r="Q93" s="9" t="str">
        <x:v>40-49</x:v>
      </x:c>
      <x:c r="R93" s="9" t="str">
        <x:v>NO</x:v>
      </x:c>
      <x:c r="S93" s="10" t="str">
        <x:v>Guardian live 2026-06-16</x:v>
      </x:c>
      <x:c r="T93" s="10" t="str">
        <x:f>IF(IFERROR(ISNUMBER(SEARCH("http",S93)),FALSE),"YES","NO")</x:f>
        <x:v>NO</x:v>
      </x:c>
      <x:c r="U93" s="10" t="str">
        <x:v>NO</x:v>
      </x:c>
      <x:c r="V93" s="10" t="str">
        <x:v>NO</x:v>
      </x:c>
      <x:c r="W93" s="10" t="str">
        <x:v>LEGACY_UNVERIFIED_SNAPSHOT: no immutable cutoff/model/source packet</x:v>
      </x:c>
      <x:c r="X93" s="10" t="str">
        <x:v>exact_complement_selection</x:v>
      </x:c>
    </x:row>
    <x:row r="94">
      <x:c r="A94" s="9" t="n">
        <x:v>90</x:v>
      </x:c>
      <x:c r="B94" s="9" t="str">
        <x:v>SOC-20260616-ESP-CPV</x:v>
      </x:c>
      <x:c r="C94" s="25" t="str">
        <x:v>2026-06-16</x:v>
      </x:c>
      <x:c r="D94" s="9" t="str">
        <x:v>Soccer</x:v>
      </x:c>
      <x:c r="E94" s="9" t="str">
        <x:v>Soccer</x:v>
      </x:c>
      <x:c r="F94" s="10" t="str">
        <x:v>Spain vs Cape Verde</x:v>
      </x:c>
      <x:c r="G94" s="10" t="str">
        <x:v>FIFA World Cup Group H</x:v>
      </x:c>
      <x:c r="H94" s="10" t="str">
        <x:v>1H goals 0.5 full goals 2.5 and 3.5</x:v>
      </x:c>
      <x:c r="I94" s="9" t="n">
        <x:v>5</x:v>
      </x:c>
      <x:c r="J94" s="10" t="str">
        <x:v>Total Under 2.5</x:v>
      </x:c>
      <x:c r="K94" s="9" t="str">
        <x:v>Under 2.5</x:v>
      </x:c>
      <x:c r="L94" s="23" t="n">
        <x:v>0.37</x:v>
      </x:c>
      <x:c r="M94" s="9" t="str">
        <x:v>W</x:v>
      </x:c>
      <x:c r="N94" s="9" t="n">
        <x:f>IF(M94="W",1,IF(M94="L",0,""))</x:f>
        <x:v>1</x:v>
      </x:c>
      <x:c r="O94" s="24" t="n">
        <x:f>IF(OR(M94="W",M94="L"),(L94-N94)^2,"")</x:f>
        <x:v>0.39690000000000003</x:v>
      </x:c>
      <x:c r="P94" s="9" t="str">
        <x:v>YES</x:v>
      </x:c>
      <x:c r="Q94" s="9" t="str">
        <x:v>30-39</x:v>
      </x:c>
      <x:c r="R94" s="9" t="str">
        <x:v>NO</x:v>
      </x:c>
      <x:c r="S94" s="10" t="str">
        <x:v>Guardian live 2026-06-16</x:v>
      </x:c>
      <x:c r="T94" s="10" t="str">
        <x:f>IF(IFERROR(ISNUMBER(SEARCH("http",S94)),FALSE),"YES","NO")</x:f>
        <x:v>NO</x:v>
      </x:c>
      <x:c r="U94" s="10" t="str">
        <x:v>NO</x:v>
      </x:c>
      <x:c r="V94" s="10" t="str">
        <x:v>NO</x:v>
      </x:c>
      <x:c r="W94" s="10" t="str">
        <x:v>LEGACY_UNVERIFIED_SNAPSHOT: no immutable cutoff/model/source packet</x:v>
      </x:c>
      <x:c r="X94" s="10" t="str">
        <x:v>projection_error; rank_error; exact_complement_selection</x:v>
      </x:c>
    </x:row>
    <x:row r="95">
      <x:c r="A95" s="9" t="n">
        <x:v>91</x:v>
      </x:c>
      <x:c r="B95" s="9" t="str">
        <x:v>SOC-20260616-ESP-CPV</x:v>
      </x:c>
      <x:c r="C95" s="25" t="str">
        <x:v>2026-06-16</x:v>
      </x:c>
      <x:c r="D95" s="9" t="str">
        <x:v>Soccer</x:v>
      </x:c>
      <x:c r="E95" s="9" t="str">
        <x:v>Soccer</x:v>
      </x:c>
      <x:c r="F95" s="10" t="str">
        <x:v>Spain vs Cape Verde</x:v>
      </x:c>
      <x:c r="G95" s="10" t="str">
        <x:v>FIFA World Cup Group H</x:v>
      </x:c>
      <x:c r="H95" s="10" t="str">
        <x:v>1H goals 0.5 full goals 2.5 and 3.5</x:v>
      </x:c>
      <x:c r="I95" s="9" t="n">
        <x:v>6</x:v>
      </x:c>
      <x:c r="J95" s="10" t="str">
        <x:v>1H Under 0.5</x:v>
      </x:c>
      <x:c r="K95" s="9" t="str">
        <x:v>Under 0.5</x:v>
      </x:c>
      <x:c r="L95" s="23" t="n">
        <x:v>0.24</x:v>
      </x:c>
      <x:c r="M95" s="9" t="str">
        <x:v>W</x:v>
      </x:c>
      <x:c r="N95" s="9" t="n">
        <x:f>IF(M95="W",1,IF(M95="L",0,""))</x:f>
        <x:v>1</x:v>
      </x:c>
      <x:c r="O95" s="24" t="n">
        <x:f>IF(OR(M95="W",M95="L"),(L95-N95)^2,"")</x:f>
        <x:v>0.5776</x:v>
      </x:c>
      <x:c r="P95" s="9" t="str">
        <x:v>YES</x:v>
      </x:c>
      <x:c r="Q95" s="9" t="str">
        <x:v>20-29</x:v>
      </x:c>
      <x:c r="R95" s="9" t="str">
        <x:v>NO</x:v>
      </x:c>
      <x:c r="S95" s="10" t="str">
        <x:v>Guardian live 2026-06-16</x:v>
      </x:c>
      <x:c r="T95" s="10" t="str">
        <x:f>IF(IFERROR(ISNUMBER(SEARCH("http",S95)),FALSE),"YES","NO")</x:f>
        <x:v>NO</x:v>
      </x:c>
      <x:c r="U95" s="10" t="str">
        <x:v>NO</x:v>
      </x:c>
      <x:c r="V95" s="10" t="str">
        <x:v>NO</x:v>
      </x:c>
      <x:c r="W95" s="10" t="str">
        <x:v>LEGACY_UNVERIFIED_SNAPSHOT: no immutable cutoff/model/source packet</x:v>
      </x:c>
      <x:c r="X95" s="10" t="str">
        <x:v>projection_error; rank_error; exact_complement_selection</x:v>
      </x:c>
    </x:row>
    <x:row r="96">
      <x:c r="A96" s="9" t="n">
        <x:v>92</x:v>
      </x:c>
      <x:c r="B96" s="9" t="str">
        <x:v>SOC-20260616-BEL-EGY</x:v>
      </x:c>
      <x:c r="C96" s="25" t="str">
        <x:v>2026-06-16</x:v>
      </x:c>
      <x:c r="D96" s="9" t="str">
        <x:v>Soccer</x:v>
      </x:c>
      <x:c r="E96" s="9" t="str">
        <x:v>Soccer</x:v>
      </x:c>
      <x:c r="F96" s="10" t="str">
        <x:v>Belgium vs Egypt</x:v>
      </x:c>
      <x:c r="G96" s="10" t="str">
        <x:v>FIFA World Cup Group G</x:v>
      </x:c>
      <x:c r="H96" s="10" t="str">
        <x:v>Under 4.5 Egypt TT Under 2.5 Belgium/DC Belgium TT Over 0.5</x:v>
      </x:c>
      <x:c r="I96" s="9" t="n">
        <x:v>1</x:v>
      </x:c>
      <x:c r="J96" s="10" t="str">
        <x:v>Total Under 4.5</x:v>
      </x:c>
      <x:c r="K96" s="9" t="str">
        <x:v>Under 4.5</x:v>
      </x:c>
      <x:c r="L96" s="23" t="n">
        <x:v>0.82</x:v>
      </x:c>
      <x:c r="M96" s="9" t="str">
        <x:v>W</x:v>
      </x:c>
      <x:c r="N96" s="9" t="n">
        <x:f>IF(M96="W",1,IF(M96="L",0,""))</x:f>
        <x:v>1</x:v>
      </x:c>
      <x:c r="O96" s="24" t="n">
        <x:f>IF(OR(M96="W",M96="L"),(L96-N96)^2,"")</x:f>
        <x:v>0.03240000000000002</x:v>
      </x:c>
      <x:c r="P96" s="9" t="str">
        <x:v>NO</x:v>
      </x:c>
      <x:c r="Q96" s="9" t="str">
        <x:v>80+</x:v>
      </x:c>
      <x:c r="R96" s="9" t="str">
        <x:v>NO</x:v>
      </x:c>
      <x:c r="S96" s="10" t="str">
        <x:v>Guardian/ESPN/ABC/Al Jazeera 2026-06-16</x:v>
      </x:c>
      <x:c r="T96" s="10" t="str">
        <x:f>IF(IFERROR(ISNUMBER(SEARCH("http",S96)),FALSE),"YES","NO")</x:f>
        <x:v>NO</x:v>
      </x:c>
      <x:c r="U96" s="10" t="str">
        <x:v>NO</x:v>
      </x:c>
      <x:c r="V96" s="10" t="str">
        <x:v>NO</x:v>
      </x:c>
      <x:c r="W96" s="10" t="str">
        <x:v>LEGACY_UNVERIFIED_SNAPSHOT: no immutable cutoff/model/source packet</x:v>
      </x:c>
      <x:c r="X96" s="10" t="str">
        <x:v>legacy schema only</x:v>
      </x:c>
    </x:row>
    <x:row r="97">
      <x:c r="A97" s="9" t="n">
        <x:v>93</x:v>
      </x:c>
      <x:c r="B97" s="9" t="str">
        <x:v>SOC-20260616-BEL-EGY</x:v>
      </x:c>
      <x:c r="C97" s="25" t="str">
        <x:v>2026-06-16</x:v>
      </x:c>
      <x:c r="D97" s="9" t="str">
        <x:v>Soccer</x:v>
      </x:c>
      <x:c r="E97" s="9" t="str">
        <x:v>Soccer</x:v>
      </x:c>
      <x:c r="F97" s="10" t="str">
        <x:v>Belgium vs Egypt</x:v>
      </x:c>
      <x:c r="G97" s="10" t="str">
        <x:v>FIFA World Cup Group G</x:v>
      </x:c>
      <x:c r="H97" s="10" t="str">
        <x:v>Under 4.5 Egypt TT Under 2.5 Belgium/DC Belgium TT Over 0.5</x:v>
      </x:c>
      <x:c r="I97" s="9" t="n">
        <x:v>2</x:v>
      </x:c>
      <x:c r="J97" s="10" t="str">
        <x:v>Egypt Team Total Under 2.5</x:v>
      </x:c>
      <x:c r="K97" s="9" t="str">
        <x:v>Under 2.5</x:v>
      </x:c>
      <x:c r="L97" s="23" t="n">
        <x:v>0.78</x:v>
      </x:c>
      <x:c r="M97" s="9" t="str">
        <x:v>W</x:v>
      </x:c>
      <x:c r="N97" s="9" t="n">
        <x:f>IF(M97="W",1,IF(M97="L",0,""))</x:f>
        <x:v>1</x:v>
      </x:c>
      <x:c r="O97" s="24" t="n">
        <x:f>IF(OR(M97="W",M97="L"),(L97-N97)^2,"")</x:f>
        <x:v>0.04839999999999999</x:v>
      </x:c>
      <x:c r="P97" s="9" t="str">
        <x:v>NO</x:v>
      </x:c>
      <x:c r="Q97" s="9" t="str">
        <x:v>70-79</x:v>
      </x:c>
      <x:c r="R97" s="9" t="str">
        <x:v>NO</x:v>
      </x:c>
      <x:c r="S97" s="10" t="str">
        <x:v>Guardian/ESPN/ABC/Al Jazeera 2026-06-16</x:v>
      </x:c>
      <x:c r="T97" s="10" t="str">
        <x:f>IF(IFERROR(ISNUMBER(SEARCH("http",S97)),FALSE),"YES","NO")</x:f>
        <x:v>NO</x:v>
      </x:c>
      <x:c r="U97" s="10" t="str">
        <x:v>NO</x:v>
      </x:c>
      <x:c r="V97" s="10" t="str">
        <x:v>NO</x:v>
      </x:c>
      <x:c r="W97" s="10" t="str">
        <x:v>LEGACY_UNVERIFIED_SNAPSHOT: no immutable cutoff/model/source packet</x:v>
      </x:c>
      <x:c r="X97" s="10" t="str">
        <x:v>legacy schema only</x:v>
      </x:c>
    </x:row>
    <x:row r="98">
      <x:c r="A98" s="9" t="n">
        <x:v>94</x:v>
      </x:c>
      <x:c r="B98" s="9" t="str">
        <x:v>SOC-20260616-BEL-EGY</x:v>
      </x:c>
      <x:c r="C98" s="25" t="str">
        <x:v>2026-06-16</x:v>
      </x:c>
      <x:c r="D98" s="9" t="str">
        <x:v>Soccer</x:v>
      </x:c>
      <x:c r="E98" s="9" t="str">
        <x:v>Soccer</x:v>
      </x:c>
      <x:c r="F98" s="10" t="str">
        <x:v>Belgium vs Egypt</x:v>
      </x:c>
      <x:c r="G98" s="10" t="str">
        <x:v>FIFA World Cup Group G</x:v>
      </x:c>
      <x:c r="H98" s="10" t="str">
        <x:v>Under 4.5 Egypt TT Under 2.5 Belgium/DC Belgium TT Over 0.5</x:v>
      </x:c>
      <x:c r="I98" s="9" t="n">
        <x:v>3</x:v>
      </x:c>
      <x:c r="J98" s="10" t="str">
        <x:v>Belgium or Draw</x:v>
      </x:c>
      <x:c r="K98" s="9" t="str">
        <x:v>Double chance</x:v>
      </x:c>
      <x:c r="L98" s="23" t="n">
        <x:v>0.72</x:v>
      </x:c>
      <x:c r="M98" s="9" t="str">
        <x:v>W</x:v>
      </x:c>
      <x:c r="N98" s="9" t="n">
        <x:f>IF(M98="W",1,IF(M98="L",0,""))</x:f>
        <x:v>1</x:v>
      </x:c>
      <x:c r="O98" s="24" t="n">
        <x:f>IF(OR(M98="W",M98="L"),(L98-N98)^2,"")</x:f>
        <x:v>0.07840000000000001</x:v>
      </x:c>
      <x:c r="P98" s="9" t="str">
        <x:v>NO</x:v>
      </x:c>
      <x:c r="Q98" s="9" t="str">
        <x:v>70-79</x:v>
      </x:c>
      <x:c r="R98" s="9" t="str">
        <x:v>NO</x:v>
      </x:c>
      <x:c r="S98" s="10" t="str">
        <x:v>Guardian/ESPN/ABC/Al Jazeera 2026-06-16</x:v>
      </x:c>
      <x:c r="T98" s="10" t="str">
        <x:f>IF(IFERROR(ISNUMBER(SEARCH("http",S98)),FALSE),"YES","NO")</x:f>
        <x:v>NO</x:v>
      </x:c>
      <x:c r="U98" s="10" t="str">
        <x:v>NO</x:v>
      </x:c>
      <x:c r="V98" s="10" t="str">
        <x:v>NO</x:v>
      </x:c>
      <x:c r="W98" s="10" t="str">
        <x:v>LEGACY_UNVERIFIED_SNAPSHOT: no immutable cutoff/model/source packet</x:v>
      </x:c>
      <x:c r="X98" s="10" t="str">
        <x:v>legacy schema only</x:v>
      </x:c>
    </x:row>
    <x:row r="99">
      <x:c r="A99" s="9" t="n">
        <x:v>95</x:v>
      </x:c>
      <x:c r="B99" s="9" t="str">
        <x:v>SOC-20260616-BEL-EGY</x:v>
      </x:c>
      <x:c r="C99" s="25" t="str">
        <x:v>2026-06-16</x:v>
      </x:c>
      <x:c r="D99" s="9" t="str">
        <x:v>Soccer</x:v>
      </x:c>
      <x:c r="E99" s="9" t="str">
        <x:v>Soccer</x:v>
      </x:c>
      <x:c r="F99" s="10" t="str">
        <x:v>Belgium vs Egypt</x:v>
      </x:c>
      <x:c r="G99" s="10" t="str">
        <x:v>FIFA World Cup Group G</x:v>
      </x:c>
      <x:c r="H99" s="10" t="str">
        <x:v>Under 4.5 Egypt TT Under 2.5 Belgium/DC Belgium TT Over 0.5</x:v>
      </x:c>
      <x:c r="I99" s="9" t="n">
        <x:v>4</x:v>
      </x:c>
      <x:c r="J99" s="10" t="str">
        <x:v>Belgium Team Total Over 0.5</x:v>
      </x:c>
      <x:c r="K99" s="9" t="str">
        <x:v>Over 0.5</x:v>
      </x:c>
      <x:c r="L99" s="23" t="n">
        <x:v>0.69</x:v>
      </x:c>
      <x:c r="M99" s="9" t="str">
        <x:v>W</x:v>
      </x:c>
      <x:c r="N99" s="9" t="n">
        <x:f>IF(M99="W",1,IF(M99="L",0,""))</x:f>
        <x:v>1</x:v>
      </x:c>
      <x:c r="O99" s="24" t="n">
        <x:f>IF(OR(M99="W",M99="L"),(L99-N99)^2,"")</x:f>
        <x:v>0.09610000000000003</x:v>
      </x:c>
      <x:c r="P99" s="9" t="str">
        <x:v>NO</x:v>
      </x:c>
      <x:c r="Q99" s="9" t="str">
        <x:v>60-69</x:v>
      </x:c>
      <x:c r="R99" s="9" t="str">
        <x:v>NO</x:v>
      </x:c>
      <x:c r="S99" s="10" t="str">
        <x:v>Guardian/ESPN/ABC/Al Jazeera 2026-06-16</x:v>
      </x:c>
      <x:c r="T99" s="10" t="str">
        <x:f>IF(IFERROR(ISNUMBER(SEARCH("http",S99)),FALSE),"YES","NO")</x:f>
        <x:v>NO</x:v>
      </x:c>
      <x:c r="U99" s="10" t="str">
        <x:v>NO</x:v>
      </x:c>
      <x:c r="V99" s="10" t="str">
        <x:v>NO</x:v>
      </x:c>
      <x:c r="W99" s="10" t="str">
        <x:v>LEGACY_UNVERIFIED_SNAPSHOT: no immutable cutoff/model/source packet</x:v>
      </x:c>
      <x:c r="X99" s="10" t="str">
        <x:v>legacy schema only</x:v>
      </x:c>
    </x:row>
    <x:row r="100">
      <x:c r="A100" s="9" t="n">
        <x:v>96</x:v>
      </x:c>
      <x:c r="B100" s="9" t="str">
        <x:v>BKB-20260616-FEN-BES</x:v>
      </x:c>
      <x:c r="C100" s="25" t="str">
        <x:v>2026-06-16</x:v>
      </x:c>
      <x:c r="D100" s="9" t="str">
        <x:v>Basketball</x:v>
      </x:c>
      <x:c r="E100" s="9" t="str">
        <x:v>Basketball</x:v>
      </x:c>
      <x:c r="F100" s="10" t="str">
        <x:v>Fenerbahce Beko vs Besiktas Gain</x:v>
      </x:c>
      <x:c r="G100" s="10" t="str">
        <x:v>Turkey BSL Playoff Final Game 2</x:v>
      </x:c>
      <x:c r="H100" s="10" t="str">
        <x:v>Fener -9.5 Besiktas +9.5 full 161.5 Q1 40.5 1H 80.5</x:v>
      </x:c>
      <x:c r="I100" s="9" t="n">
        <x:v>1</x:v>
      </x:c>
      <x:c r="J100" s="10" t="str">
        <x:v>Besiktas +9.5</x:v>
      </x:c>
      <x:c r="K100" s="9" t="str">
        <x:v>+9.5</x:v>
      </x:c>
      <x:c r="L100" s="23" t="n">
        <x:v>0.64</x:v>
      </x:c>
      <x:c r="M100" s="9" t="str">
        <x:v>L</x:v>
      </x:c>
      <x:c r="N100" s="9" t="n">
        <x:f>IF(M100="W",1,IF(M100="L",0,""))</x:f>
        <x:v>0</x:v>
      </x:c>
      <x:c r="O100" s="24" t="n">
        <x:f>IF(OR(M100="W",M100="L"),(L100-N100)^2,"")</x:f>
        <x:v>0.4096</x:v>
      </x:c>
      <x:c r="P100" s="9" t="str">
        <x:v>YES</x:v>
      </x:c>
      <x:c r="Q100" s="9" t="str">
        <x:v>60-69</x:v>
      </x:c>
      <x:c r="R100" s="9" t="str">
        <x:v>NO</x:v>
      </x:c>
      <x:c r="S100" s="10" t="str">
        <x:v>TBF/Sofascore/LiveScore/Xscores 2026-06-16</x:v>
      </x:c>
      <x:c r="T100" s="10" t="str">
        <x:f>IF(IFERROR(ISNUMBER(SEARCH("http",S100)),FALSE),"YES","NO")</x:f>
        <x:v>NO</x:v>
      </x:c>
      <x:c r="U100" s="10" t="str">
        <x:v>NO</x:v>
      </x:c>
      <x:c r="V100" s="10" t="str">
        <x:v>NO</x:v>
      </x:c>
      <x:c r="W100" s="10" t="str">
        <x:v>LEGACY_UNVERIFIED_SNAPSHOT: no immutable cutoff/model/source packet</x:v>
      </x:c>
      <x:c r="X100" s="10" t="str">
        <x:v>projection_error; rank_error; exact_complement_selection</x:v>
      </x:c>
    </x:row>
    <x:row r="101">
      <x:c r="A101" s="9" t="n">
        <x:v>97</x:v>
      </x:c>
      <x:c r="B101" s="9" t="str">
        <x:v>BKB-20260616-FEN-BES</x:v>
      </x:c>
      <x:c r="C101" s="25" t="str">
        <x:v>2026-06-16</x:v>
      </x:c>
      <x:c r="D101" s="9" t="str">
        <x:v>Basketball</x:v>
      </x:c>
      <x:c r="E101" s="9" t="str">
        <x:v>Basketball</x:v>
      </x:c>
      <x:c r="F101" s="10" t="str">
        <x:v>Fenerbahce Beko vs Besiktas Gain</x:v>
      </x:c>
      <x:c r="G101" s="10" t="str">
        <x:v>Turkey BSL Playoff Final Game 2</x:v>
      </x:c>
      <x:c r="H101" s="10" t="str">
        <x:v>Fener -9.5 Besiktas +9.5 full 161.5 Q1 40.5 1H 80.5</x:v>
      </x:c>
      <x:c r="I101" s="9" t="n">
        <x:v>2</x:v>
      </x:c>
      <x:c r="J101" s="10" t="str">
        <x:v>Full Over 161.5</x:v>
      </x:c>
      <x:c r="K101" s="9" t="str">
        <x:v>Over 161.5</x:v>
      </x:c>
      <x:c r="L101" s="23" t="n">
        <x:v>0.6</x:v>
      </x:c>
      <x:c r="M101" s="9" t="str">
        <x:v>L</x:v>
      </x:c>
      <x:c r="N101" s="9" t="n">
        <x:f>IF(M101="W",1,IF(M101="L",0,""))</x:f>
        <x:v>0</x:v>
      </x:c>
      <x:c r="O101" s="24" t="n">
        <x:f>IF(OR(M101="W",M101="L"),(L101-N101)^2,"")</x:f>
        <x:v>0.36</x:v>
      </x:c>
      <x:c r="P101" s="9" t="str">
        <x:v>YES</x:v>
      </x:c>
      <x:c r="Q101" s="9" t="str">
        <x:v>60-69</x:v>
      </x:c>
      <x:c r="R101" s="9" t="str">
        <x:v>NO</x:v>
      </x:c>
      <x:c r="S101" s="10" t="str">
        <x:v>TBF/Sofascore/LiveScore/Xscores 2026-06-16</x:v>
      </x:c>
      <x:c r="T101" s="10" t="str">
        <x:f>IF(IFERROR(ISNUMBER(SEARCH("http",S101)),FALSE),"YES","NO")</x:f>
        <x:v>NO</x:v>
      </x:c>
      <x:c r="U101" s="10" t="str">
        <x:v>NO</x:v>
      </x:c>
      <x:c r="V101" s="10" t="str">
        <x:v>NO</x:v>
      </x:c>
      <x:c r="W101" s="10" t="str">
        <x:v>LEGACY_UNVERIFIED_SNAPSHOT: no immutable cutoff/model/source packet</x:v>
      </x:c>
      <x:c r="X101" s="10" t="str">
        <x:v>exact_complement_selection</x:v>
      </x:c>
    </x:row>
    <x:row r="102">
      <x:c r="A102" s="9" t="n">
        <x:v>98</x:v>
      </x:c>
      <x:c r="B102" s="9" t="str">
        <x:v>BKB-20260616-FEN-BES</x:v>
      </x:c>
      <x:c r="C102" s="25" t="str">
        <x:v>2026-06-16</x:v>
      </x:c>
      <x:c r="D102" s="9" t="str">
        <x:v>Basketball</x:v>
      </x:c>
      <x:c r="E102" s="9" t="str">
        <x:v>Basketball</x:v>
      </x:c>
      <x:c r="F102" s="10" t="str">
        <x:v>Fenerbahce Beko vs Besiktas Gain</x:v>
      </x:c>
      <x:c r="G102" s="10" t="str">
        <x:v>Turkey BSL Playoff Final Game 2</x:v>
      </x:c>
      <x:c r="H102" s="10" t="str">
        <x:v>Fener -9.5 Besiktas +9.5 full 161.5 Q1 40.5 1H 80.5</x:v>
      </x:c>
      <x:c r="I102" s="9" t="n">
        <x:v>3</x:v>
      </x:c>
      <x:c r="J102" s="10" t="str">
        <x:v>1H Over 80.5</x:v>
      </x:c>
      <x:c r="K102" s="9" t="str">
        <x:v>Over 80.5</x:v>
      </x:c>
      <x:c r="L102" s="23" t="n">
        <x:v>0.56</x:v>
      </x:c>
      <x:c r="M102" s="9" t="str">
        <x:v>W</x:v>
      </x:c>
      <x:c r="N102" s="9" t="n">
        <x:f>IF(M102="W",1,IF(M102="L",0,""))</x:f>
        <x:v>1</x:v>
      </x:c>
      <x:c r="O102" s="24" t="n">
        <x:f>IF(OR(M102="W",M102="L"),(L102-N102)^2,"")</x:f>
        <x:v>0.19359999999999997</x:v>
      </x:c>
      <x:c r="P102" s="9" t="str">
        <x:v>YES</x:v>
      </x:c>
      <x:c r="Q102" s="9" t="str">
        <x:v>50-59</x:v>
      </x:c>
      <x:c r="R102" s="9" t="str">
        <x:v>NO</x:v>
      </x:c>
      <x:c r="S102" s="10" t="str">
        <x:v>TBF/Sofascore/LiveScore/Xscores 2026-06-16</x:v>
      </x:c>
      <x:c r="T102" s="10" t="str">
        <x:f>IF(IFERROR(ISNUMBER(SEARCH("http",S102)),FALSE),"YES","NO")</x:f>
        <x:v>NO</x:v>
      </x:c>
      <x:c r="U102" s="10" t="str">
        <x:v>NO</x:v>
      </x:c>
      <x:c r="V102" s="10" t="str">
        <x:v>NO</x:v>
      </x:c>
      <x:c r="W102" s="10" t="str">
        <x:v>LEGACY_UNVERIFIED_SNAPSHOT: no immutable cutoff/model/source packet</x:v>
      </x:c>
      <x:c r="X102" s="10" t="str">
        <x:v>exact_complement_selection</x:v>
      </x:c>
    </x:row>
    <x:row r="103">
      <x:c r="A103" s="9" t="n">
        <x:v>99</x:v>
      </x:c>
      <x:c r="B103" s="9" t="str">
        <x:v>BKB-20260616-FEN-BES</x:v>
      </x:c>
      <x:c r="C103" s="25" t="str">
        <x:v>2026-06-16</x:v>
      </x:c>
      <x:c r="D103" s="9" t="str">
        <x:v>Basketball</x:v>
      </x:c>
      <x:c r="E103" s="9" t="str">
        <x:v>Basketball</x:v>
      </x:c>
      <x:c r="F103" s="10" t="str">
        <x:v>Fenerbahce Beko vs Besiktas Gain</x:v>
      </x:c>
      <x:c r="G103" s="10" t="str">
        <x:v>Turkey BSL Playoff Final Game 2</x:v>
      </x:c>
      <x:c r="H103" s="10" t="str">
        <x:v>Fener -9.5 Besiktas +9.5 full 161.5 Q1 40.5 1H 80.5</x:v>
      </x:c>
      <x:c r="I103" s="9" t="n">
        <x:v>4</x:v>
      </x:c>
      <x:c r="J103" s="10" t="str">
        <x:v>Q1 Over 40.5</x:v>
      </x:c>
      <x:c r="K103" s="9" t="str">
        <x:v>Over 40.5</x:v>
      </x:c>
      <x:c r="L103" s="23" t="n">
        <x:v>0.52</x:v>
      </x:c>
      <x:c r="M103" s="9" t="str">
        <x:v>W</x:v>
      </x:c>
      <x:c r="N103" s="9" t="n">
        <x:f>IF(M103="W",1,IF(M103="L",0,""))</x:f>
        <x:v>1</x:v>
      </x:c>
      <x:c r="O103" s="24" t="n">
        <x:f>IF(OR(M103="W",M103="L"),(L103-N103)^2,"")</x:f>
        <x:v>0.2304</x:v>
      </x:c>
      <x:c r="P103" s="9" t="str">
        <x:v>YES</x:v>
      </x:c>
      <x:c r="Q103" s="9" t="str">
        <x:v>50-59</x:v>
      </x:c>
      <x:c r="R103" s="9" t="str">
        <x:v>NO</x:v>
      </x:c>
      <x:c r="S103" s="10" t="str">
        <x:v>TBF/Sofascore/LiveScore/Xscores 2026-06-16</x:v>
      </x:c>
      <x:c r="T103" s="10" t="str">
        <x:f>IF(IFERROR(ISNUMBER(SEARCH("http",S103)),FALSE),"YES","NO")</x:f>
        <x:v>NO</x:v>
      </x:c>
      <x:c r="U103" s="10" t="str">
        <x:v>NO</x:v>
      </x:c>
      <x:c r="V103" s="10" t="str">
        <x:v>NO</x:v>
      </x:c>
      <x:c r="W103" s="10" t="str">
        <x:v>LEGACY_UNVERIFIED_SNAPSHOT: no immutable cutoff/model/source packet</x:v>
      </x:c>
      <x:c r="X103" s="10" t="str">
        <x:v>exact_complement_selection</x:v>
      </x:c>
    </x:row>
    <x:row r="104">
      <x:c r="A104" s="9" t="n">
        <x:v>100</x:v>
      </x:c>
      <x:c r="B104" s="9" t="str">
        <x:v>BKB-20260616-FEN-BES</x:v>
      </x:c>
      <x:c r="C104" s="25" t="str">
        <x:v>2026-06-16</x:v>
      </x:c>
      <x:c r="D104" s="9" t="str">
        <x:v>Basketball</x:v>
      </x:c>
      <x:c r="E104" s="9" t="str">
        <x:v>Basketball</x:v>
      </x:c>
      <x:c r="F104" s="10" t="str">
        <x:v>Fenerbahce Beko vs Besiktas Gain</x:v>
      </x:c>
      <x:c r="G104" s="10" t="str">
        <x:v>Turkey BSL Playoff Final Game 2</x:v>
      </x:c>
      <x:c r="H104" s="10" t="str">
        <x:v>Fener -9.5 Besiktas +9.5 full 161.5 Q1 40.5 1H 80.5</x:v>
      </x:c>
      <x:c r="I104" s="9" t="n">
        <x:v>5</x:v>
      </x:c>
      <x:c r="J104" s="10" t="str">
        <x:v>Q1 Under 40.5</x:v>
      </x:c>
      <x:c r="K104" s="9" t="str">
        <x:v>Under 40.5</x:v>
      </x:c>
      <x:c r="L104" s="23" t="n">
        <x:v>0.48</x:v>
      </x:c>
      <x:c r="M104" s="9" t="str">
        <x:v>L</x:v>
      </x:c>
      <x:c r="N104" s="9" t="n">
        <x:f>IF(M104="W",1,IF(M104="L",0,""))</x:f>
        <x:v>0</x:v>
      </x:c>
      <x:c r="O104" s="24" t="n">
        <x:f>IF(OR(M104="W",M104="L"),(L104-N104)^2,"")</x:f>
        <x:v>0.2304</x:v>
      </x:c>
      <x:c r="P104" s="9" t="str">
        <x:v>YES</x:v>
      </x:c>
      <x:c r="Q104" s="9" t="str">
        <x:v>40-49</x:v>
      </x:c>
      <x:c r="R104" s="9" t="str">
        <x:v>NO</x:v>
      </x:c>
      <x:c r="S104" s="10" t="str">
        <x:v>TBF/Sofascore/LiveScore/Xscores 2026-06-16</x:v>
      </x:c>
      <x:c r="T104" s="10" t="str">
        <x:f>IF(IFERROR(ISNUMBER(SEARCH("http",S104)),FALSE),"YES","NO")</x:f>
        <x:v>NO</x:v>
      </x:c>
      <x:c r="U104" s="10" t="str">
        <x:v>NO</x:v>
      </x:c>
      <x:c r="V104" s="10" t="str">
        <x:v>NO</x:v>
      </x:c>
      <x:c r="W104" s="10" t="str">
        <x:v>LEGACY_UNVERIFIED_SNAPSHOT: no immutable cutoff/model/source packet</x:v>
      </x:c>
      <x:c r="X104" s="10" t="str">
        <x:v>exact_complement_selection</x:v>
      </x:c>
    </x:row>
    <x:row r="105">
      <x:c r="A105" s="9" t="n">
        <x:v>101</x:v>
      </x:c>
      <x:c r="B105" s="9" t="str">
        <x:v>BKB-20260616-FEN-BES</x:v>
      </x:c>
      <x:c r="C105" s="25" t="str">
        <x:v>2026-06-16</x:v>
      </x:c>
      <x:c r="D105" s="9" t="str">
        <x:v>Basketball</x:v>
      </x:c>
      <x:c r="E105" s="9" t="str">
        <x:v>Basketball</x:v>
      </x:c>
      <x:c r="F105" s="10" t="str">
        <x:v>Fenerbahce Beko vs Besiktas Gain</x:v>
      </x:c>
      <x:c r="G105" s="10" t="str">
        <x:v>Turkey BSL Playoff Final Game 2</x:v>
      </x:c>
      <x:c r="H105" s="10" t="str">
        <x:v>Fener -9.5 Besiktas +9.5 full 161.5 Q1 40.5 1H 80.5</x:v>
      </x:c>
      <x:c r="I105" s="9" t="n">
        <x:v>6</x:v>
      </x:c>
      <x:c r="J105" s="10" t="str">
        <x:v>1H Under 80.5</x:v>
      </x:c>
      <x:c r="K105" s="9" t="str">
        <x:v>Under 80.5</x:v>
      </x:c>
      <x:c r="L105" s="23" t="n">
        <x:v>0.44</x:v>
      </x:c>
      <x:c r="M105" s="9" t="str">
        <x:v>L</x:v>
      </x:c>
      <x:c r="N105" s="9" t="n">
        <x:f>IF(M105="W",1,IF(M105="L",0,""))</x:f>
        <x:v>0</x:v>
      </x:c>
      <x:c r="O105" s="24" t="n">
        <x:f>IF(OR(M105="W",M105="L"),(L105-N105)^2,"")</x:f>
        <x:v>0.1936</x:v>
      </x:c>
      <x:c r="P105" s="9" t="str">
        <x:v>YES</x:v>
      </x:c>
      <x:c r="Q105" s="9" t="str">
        <x:v>40-49</x:v>
      </x:c>
      <x:c r="R105" s="9" t="str">
        <x:v>NO</x:v>
      </x:c>
      <x:c r="S105" s="10" t="str">
        <x:v>TBF/Sofascore/LiveScore/Xscores 2026-06-16</x:v>
      </x:c>
      <x:c r="T105" s="10" t="str">
        <x:f>IF(IFERROR(ISNUMBER(SEARCH("http",S105)),FALSE),"YES","NO")</x:f>
        <x:v>NO</x:v>
      </x:c>
      <x:c r="U105" s="10" t="str">
        <x:v>NO</x:v>
      </x:c>
      <x:c r="V105" s="10" t="str">
        <x:v>NO</x:v>
      </x:c>
      <x:c r="W105" s="10" t="str">
        <x:v>LEGACY_UNVERIFIED_SNAPSHOT: no immutable cutoff/model/source packet</x:v>
      </x:c>
      <x:c r="X105" s="10" t="str">
        <x:v>exact_complement_selection</x:v>
      </x:c>
    </x:row>
    <x:row r="106">
      <x:c r="A106" s="9" t="n">
        <x:v>102</x:v>
      </x:c>
      <x:c r="B106" s="9" t="str">
        <x:v>BKB-20260616-FEN-BES</x:v>
      </x:c>
      <x:c r="C106" s="25" t="str">
        <x:v>2026-06-16</x:v>
      </x:c>
      <x:c r="D106" s="9" t="str">
        <x:v>Basketball</x:v>
      </x:c>
      <x:c r="E106" s="9" t="str">
        <x:v>Basketball</x:v>
      </x:c>
      <x:c r="F106" s="10" t="str">
        <x:v>Fenerbahce Beko vs Besiktas Gain</x:v>
      </x:c>
      <x:c r="G106" s="10" t="str">
        <x:v>Turkey BSL Playoff Final Game 2</x:v>
      </x:c>
      <x:c r="H106" s="10" t="str">
        <x:v>Fener -9.5 Besiktas +9.5 full 161.5 Q1 40.5 1H 80.5</x:v>
      </x:c>
      <x:c r="I106" s="9" t="n">
        <x:v>7</x:v>
      </x:c>
      <x:c r="J106" s="10" t="str">
        <x:v>Full Under 161.5</x:v>
      </x:c>
      <x:c r="K106" s="9" t="str">
        <x:v>Under 161.5</x:v>
      </x:c>
      <x:c r="L106" s="23" t="n">
        <x:v>0.4</x:v>
      </x:c>
      <x:c r="M106" s="9" t="str">
        <x:v>W</x:v>
      </x:c>
      <x:c r="N106" s="9" t="n">
        <x:f>IF(M106="W",1,IF(M106="L",0,""))</x:f>
        <x:v>1</x:v>
      </x:c>
      <x:c r="O106" s="24" t="n">
        <x:f>IF(OR(M106="W",M106="L"),(L106-N106)^2,"")</x:f>
        <x:v>0.36</x:v>
      </x:c>
      <x:c r="P106" s="9" t="str">
        <x:v>YES</x:v>
      </x:c>
      <x:c r="Q106" s="9" t="str">
        <x:v>40-49</x:v>
      </x:c>
      <x:c r="R106" s="9" t="str">
        <x:v>NO</x:v>
      </x:c>
      <x:c r="S106" s="10" t="str">
        <x:v>TBF/Sofascore/LiveScore/Xscores 2026-06-16</x:v>
      </x:c>
      <x:c r="T106" s="10" t="str">
        <x:f>IF(IFERROR(ISNUMBER(SEARCH("http",S106)),FALSE),"YES","NO")</x:f>
        <x:v>NO</x:v>
      </x:c>
      <x:c r="U106" s="10" t="str">
        <x:v>NO</x:v>
      </x:c>
      <x:c r="V106" s="10" t="str">
        <x:v>NO</x:v>
      </x:c>
      <x:c r="W106" s="10" t="str">
        <x:v>LEGACY_UNVERIFIED_SNAPSHOT: no immutable cutoff/model/source packet</x:v>
      </x:c>
      <x:c r="X106" s="10" t="str">
        <x:v>rank_error; exact_complement_selection</x:v>
      </x:c>
    </x:row>
    <x:row r="107">
      <x:c r="A107" s="9" t="n">
        <x:v>103</x:v>
      </x:c>
      <x:c r="B107" s="9" t="str">
        <x:v>BKB-20260616-FEN-BES</x:v>
      </x:c>
      <x:c r="C107" s="25" t="str">
        <x:v>2026-06-16</x:v>
      </x:c>
      <x:c r="D107" s="9" t="str">
        <x:v>Basketball</x:v>
      </x:c>
      <x:c r="E107" s="9" t="str">
        <x:v>Basketball</x:v>
      </x:c>
      <x:c r="F107" s="10" t="str">
        <x:v>Fenerbahce Beko vs Besiktas Gain</x:v>
      </x:c>
      <x:c r="G107" s="10" t="str">
        <x:v>Turkey BSL Playoff Final Game 2</x:v>
      </x:c>
      <x:c r="H107" s="10" t="str">
        <x:v>Fener -9.5 Besiktas +9.5 full 161.5 Q1 40.5 1H 80.5</x:v>
      </x:c>
      <x:c r="I107" s="9" t="n">
        <x:v>8</x:v>
      </x:c>
      <x:c r="J107" s="10" t="str">
        <x:v>Fenerbahce -9.5</x:v>
      </x:c>
      <x:c r="K107" s="9" t="str">
        <x:v>-9.5</x:v>
      </x:c>
      <x:c r="L107" s="23" t="n">
        <x:v>0.36</x:v>
      </x:c>
      <x:c r="M107" s="9" t="str">
        <x:v>W</x:v>
      </x:c>
      <x:c r="N107" s="9" t="n">
        <x:f>IF(M107="W",1,IF(M107="L",0,""))</x:f>
        <x:v>1</x:v>
      </x:c>
      <x:c r="O107" s="24" t="n">
        <x:f>IF(OR(M107="W",M107="L"),(L107-N107)^2,"")</x:f>
        <x:v>0.4096</x:v>
      </x:c>
      <x:c r="P107" s="9" t="str">
        <x:v>YES</x:v>
      </x:c>
      <x:c r="Q107" s="9" t="str">
        <x:v>30-39</x:v>
      </x:c>
      <x:c r="R107" s="9" t="str">
        <x:v>NO</x:v>
      </x:c>
      <x:c r="S107" s="10" t="str">
        <x:v>TBF/Sofascore/LiveScore/Xscores 2026-06-16</x:v>
      </x:c>
      <x:c r="T107" s="10" t="str">
        <x:f>IF(IFERROR(ISNUMBER(SEARCH("http",S107)),FALSE),"YES","NO")</x:f>
        <x:v>NO</x:v>
      </x:c>
      <x:c r="U107" s="10" t="str">
        <x:v>NO</x:v>
      </x:c>
      <x:c r="V107" s="10" t="str">
        <x:v>NO</x:v>
      </x:c>
      <x:c r="W107" s="10" t="str">
        <x:v>LEGACY_UNVERIFIED_SNAPSHOT: no immutable cutoff/model/source packet</x:v>
      </x:c>
      <x:c r="X107" s="10" t="str">
        <x:v>projection_error; rank_error; exact_complement_selection</x:v>
      </x:c>
    </x:row>
    <x:row r="108">
      <x:c r="A108" s="9" t="n">
        <x:v>104</x:v>
      </x:c>
      <x:c r="B108" s="9" t="str">
        <x:v>BKB-20260616-ZAS-LEG</x:v>
      </x:c>
      <x:c r="C108" s="25" t="str">
        <x:v>2026-06-16</x:v>
      </x:c>
      <x:c r="D108" s="9" t="str">
        <x:v>Basketball</x:v>
      </x:c>
      <x:c r="E108" s="9" t="str">
        <x:v>Basketball</x:v>
      </x:c>
      <x:c r="F108" s="10" t="str">
        <x:v>ORLEN Zastal Zielona Gora vs Legia Warszawa</x:v>
      </x:c>
      <x:c r="G108" s="10" t="str">
        <x:v>Poland Orlen Basket Liga Final Game 4</x:v>
      </x:c>
      <x:c r="H108" s="10" t="str">
        <x:v>Zastal +2 Legia -2 full 162.5 Q1 39.5 1H 80.5</x:v>
      </x:c>
      <x:c r="I108" s="9" t="n">
        <x:v>1</x:v>
      </x:c>
      <x:c r="J108" s="10" t="str">
        <x:v>Full Under 162.5</x:v>
      </x:c>
      <x:c r="K108" s="9" t="str">
        <x:v>Under 162.5</x:v>
      </x:c>
      <x:c r="L108" s="23" t="n">
        <x:v>0.62</x:v>
      </x:c>
      <x:c r="M108" s="9" t="str">
        <x:v>W</x:v>
      </x:c>
      <x:c r="N108" s="9" t="n">
        <x:f>IF(M108="W",1,IF(M108="L",0,""))</x:f>
        <x:v>1</x:v>
      </x:c>
      <x:c r="O108" s="24" t="n">
        <x:f>IF(OR(M108="W",M108="L"),(L108-N108)^2,"")</x:f>
        <x:v>0.1444</x:v>
      </x:c>
      <x:c r="P108" s="9" t="str">
        <x:v>YES</x:v>
      </x:c>
      <x:c r="Q108" s="9" t="str">
        <x:v>60-69</x:v>
      </x:c>
      <x:c r="R108" s="9" t="str">
        <x:v>NO</x:v>
      </x:c>
      <x:c r="S108" s="10" t="str">
        <x:v>PLK/Flashscore/PulsBasketu 2026-06-16</x:v>
      </x:c>
      <x:c r="T108" s="10" t="str">
        <x:f>IF(IFERROR(ISNUMBER(SEARCH("http",S108)),FALSE),"YES","NO")</x:f>
        <x:v>NO</x:v>
      </x:c>
      <x:c r="U108" s="10" t="str">
        <x:v>NO</x:v>
      </x:c>
      <x:c r="V108" s="10" t="str">
        <x:v>NO</x:v>
      </x:c>
      <x:c r="W108" s="10" t="str">
        <x:v>LEGACY_UNVERIFIED_SNAPSHOT: no immutable cutoff/model/source packet</x:v>
      </x:c>
      <x:c r="X108" s="10" t="str">
        <x:v>exact_complement_selection</x:v>
      </x:c>
    </x:row>
    <x:row r="109">
      <x:c r="A109" s="9" t="n">
        <x:v>105</x:v>
      </x:c>
      <x:c r="B109" s="9" t="str">
        <x:v>BKB-20260616-ZAS-LEG</x:v>
      </x:c>
      <x:c r="C109" s="25" t="str">
        <x:v>2026-06-16</x:v>
      </x:c>
      <x:c r="D109" s="9" t="str">
        <x:v>Basketball</x:v>
      </x:c>
      <x:c r="E109" s="9" t="str">
        <x:v>Basketball</x:v>
      </x:c>
      <x:c r="F109" s="10" t="str">
        <x:v>ORLEN Zastal Zielona Gora vs Legia Warszawa</x:v>
      </x:c>
      <x:c r="G109" s="10" t="str">
        <x:v>Poland Orlen Basket Liga Final Game 4</x:v>
      </x:c>
      <x:c r="H109" s="10" t="str">
        <x:v>Zastal +2 Legia -2 full 162.5 Q1 39.5 1H 80.5</x:v>
      </x:c>
      <x:c r="I109" s="9" t="n">
        <x:v>2</x:v>
      </x:c>
      <x:c r="J109" s="10" t="str">
        <x:v>Legia Warsaw -2.0</x:v>
      </x:c>
      <x:c r="K109" s="9" t="str">
        <x:v>-2.0</x:v>
      </x:c>
      <x:c r="L109" s="23" t="n">
        <x:v>0.58</x:v>
      </x:c>
      <x:c r="M109" s="9" t="str">
        <x:v>L</x:v>
      </x:c>
      <x:c r="N109" s="9" t="n">
        <x:f>IF(M109="W",1,IF(M109="L",0,""))</x:f>
        <x:v>0</x:v>
      </x:c>
      <x:c r="O109" s="24" t="n">
        <x:f>IF(OR(M109="W",M109="L"),(L109-N109)^2,"")</x:f>
        <x:v>0.3364</x:v>
      </x:c>
      <x:c r="P109" s="9" t="str">
        <x:v>YES</x:v>
      </x:c>
      <x:c r="Q109" s="9" t="str">
        <x:v>50-59</x:v>
      </x:c>
      <x:c r="R109" s="9" t="str">
        <x:v>NO</x:v>
      </x:c>
      <x:c r="S109" s="10" t="str">
        <x:v>PLK/Flashscore/PulsBasketu 2026-06-16</x:v>
      </x:c>
      <x:c r="T109" s="10" t="str">
        <x:f>IF(IFERROR(ISNUMBER(SEARCH("http",S109)),FALSE),"YES","NO")</x:f>
        <x:v>NO</x:v>
      </x:c>
      <x:c r="U109" s="10" t="str">
        <x:v>NO</x:v>
      </x:c>
      <x:c r="V109" s="10" t="str">
        <x:v>NO</x:v>
      </x:c>
      <x:c r="W109" s="10" t="str">
        <x:v>LEGACY_UNVERIFIED_SNAPSHOT: no immutable cutoff/model/source packet</x:v>
      </x:c>
      <x:c r="X109" s="10" t="str">
        <x:v>projection_error; rank_error; exact_complement_selection</x:v>
      </x:c>
    </x:row>
    <x:row r="110">
      <x:c r="A110" s="9" t="n">
        <x:v>106</x:v>
      </x:c>
      <x:c r="B110" s="9" t="str">
        <x:v>BKB-20260616-ZAS-LEG</x:v>
      </x:c>
      <x:c r="C110" s="25" t="str">
        <x:v>2026-06-16</x:v>
      </x:c>
      <x:c r="D110" s="9" t="str">
        <x:v>Basketball</x:v>
      </x:c>
      <x:c r="E110" s="9" t="str">
        <x:v>Basketball</x:v>
      </x:c>
      <x:c r="F110" s="10" t="str">
        <x:v>ORLEN Zastal Zielona Gora vs Legia Warszawa</x:v>
      </x:c>
      <x:c r="G110" s="10" t="str">
        <x:v>Poland Orlen Basket Liga Final Game 4</x:v>
      </x:c>
      <x:c r="H110" s="10" t="str">
        <x:v>Zastal +2 Legia -2 full 162.5 Q1 39.5 1H 80.5</x:v>
      </x:c>
      <x:c r="I110" s="9" t="n">
        <x:v>3</x:v>
      </x:c>
      <x:c r="J110" s="10" t="str">
        <x:v>Q1 Under 39.5</x:v>
      </x:c>
      <x:c r="K110" s="9" t="str">
        <x:v>Under 39.5</x:v>
      </x:c>
      <x:c r="L110" s="23" t="n">
        <x:v>0.53</x:v>
      </x:c>
      <x:c r="M110" s="9" t="str">
        <x:v>L</x:v>
      </x:c>
      <x:c r="N110" s="9" t="n">
        <x:f>IF(M110="W",1,IF(M110="L",0,""))</x:f>
        <x:v>0</x:v>
      </x:c>
      <x:c r="O110" s="24" t="n">
        <x:f>IF(OR(M110="W",M110="L"),(L110-N110)^2,"")</x:f>
        <x:v>0.28090000000000004</x:v>
      </x:c>
      <x:c r="P110" s="9" t="str">
        <x:v>YES</x:v>
      </x:c>
      <x:c r="Q110" s="9" t="str">
        <x:v>50-59</x:v>
      </x:c>
      <x:c r="R110" s="9" t="str">
        <x:v>NO</x:v>
      </x:c>
      <x:c r="S110" s="10" t="str">
        <x:v>PLK/Flashscore/PulsBasketu 2026-06-16</x:v>
      </x:c>
      <x:c r="T110" s="10" t="str">
        <x:f>IF(IFERROR(ISNUMBER(SEARCH("http",S110)),FALSE),"YES","NO")</x:f>
        <x:v>NO</x:v>
      </x:c>
      <x:c r="U110" s="10" t="str">
        <x:v>NO</x:v>
      </x:c>
      <x:c r="V110" s="10" t="str">
        <x:v>NO</x:v>
      </x:c>
      <x:c r="W110" s="10" t="str">
        <x:v>LEGACY_UNVERIFIED_SNAPSHOT: no immutable cutoff/model/source packet</x:v>
      </x:c>
      <x:c r="X110" s="10" t="str">
        <x:v>exact_complement_selection</x:v>
      </x:c>
    </x:row>
    <x:row r="111">
      <x:c r="A111" s="9" t="n">
        <x:v>107</x:v>
      </x:c>
      <x:c r="B111" s="9" t="str">
        <x:v>BKB-20260616-ZAS-LEG</x:v>
      </x:c>
      <x:c r="C111" s="25" t="str">
        <x:v>2026-06-16</x:v>
      </x:c>
      <x:c r="D111" s="9" t="str">
        <x:v>Basketball</x:v>
      </x:c>
      <x:c r="E111" s="9" t="str">
        <x:v>Basketball</x:v>
      </x:c>
      <x:c r="F111" s="10" t="str">
        <x:v>ORLEN Zastal Zielona Gora vs Legia Warszawa</x:v>
      </x:c>
      <x:c r="G111" s="10" t="str">
        <x:v>Poland Orlen Basket Liga Final Game 4</x:v>
      </x:c>
      <x:c r="H111" s="10" t="str">
        <x:v>Zastal +2 Legia -2 full 162.5 Q1 39.5 1H 80.5</x:v>
      </x:c>
      <x:c r="I111" s="9" t="n">
        <x:v>4</x:v>
      </x:c>
      <x:c r="J111" s="10" t="str">
        <x:v>1H Under 80.5</x:v>
      </x:c>
      <x:c r="K111" s="9" t="str">
        <x:v>Under 80.5</x:v>
      </x:c>
      <x:c r="L111" s="23" t="n">
        <x:v>0.52</x:v>
      </x:c>
      <x:c r="M111" s="9" t="str">
        <x:v>W</x:v>
      </x:c>
      <x:c r="N111" s="9" t="n">
        <x:f>IF(M111="W",1,IF(M111="L",0,""))</x:f>
        <x:v>1</x:v>
      </x:c>
      <x:c r="O111" s="24" t="n">
        <x:f>IF(OR(M111="W",M111="L"),(L111-N111)^2,"")</x:f>
        <x:v>0.2304</x:v>
      </x:c>
      <x:c r="P111" s="9" t="str">
        <x:v>YES</x:v>
      </x:c>
      <x:c r="Q111" s="9" t="str">
        <x:v>50-59</x:v>
      </x:c>
      <x:c r="R111" s="9" t="str">
        <x:v>NO</x:v>
      </x:c>
      <x:c r="S111" s="10" t="str">
        <x:v>PLK/Flashscore/PulsBasketu 2026-06-16</x:v>
      </x:c>
      <x:c r="T111" s="10" t="str">
        <x:f>IF(IFERROR(ISNUMBER(SEARCH("http",S111)),FALSE),"YES","NO")</x:f>
        <x:v>NO</x:v>
      </x:c>
      <x:c r="U111" s="10" t="str">
        <x:v>NO</x:v>
      </x:c>
      <x:c r="V111" s="10" t="str">
        <x:v>NO</x:v>
      </x:c>
      <x:c r="W111" s="10" t="str">
        <x:v>LEGACY_UNVERIFIED_SNAPSHOT: no immutable cutoff/model/source packet</x:v>
      </x:c>
      <x:c r="X111" s="10" t="str">
        <x:v>exact_complement_selection</x:v>
      </x:c>
    </x:row>
    <x:row r="112">
      <x:c r="A112" s="9" t="n">
        <x:v>108</x:v>
      </x:c>
      <x:c r="B112" s="9" t="str">
        <x:v>BKB-20260616-ZAS-LEG</x:v>
      </x:c>
      <x:c r="C112" s="25" t="str">
        <x:v>2026-06-16</x:v>
      </x:c>
      <x:c r="D112" s="9" t="str">
        <x:v>Basketball</x:v>
      </x:c>
      <x:c r="E112" s="9" t="str">
        <x:v>Basketball</x:v>
      </x:c>
      <x:c r="F112" s="10" t="str">
        <x:v>ORLEN Zastal Zielona Gora vs Legia Warszawa</x:v>
      </x:c>
      <x:c r="G112" s="10" t="str">
        <x:v>Poland Orlen Basket Liga Final Game 4</x:v>
      </x:c>
      <x:c r="H112" s="10" t="str">
        <x:v>Zastal +2 Legia -2 full 162.5 Q1 39.5 1H 80.5</x:v>
      </x:c>
      <x:c r="I112" s="9" t="n">
        <x:v>5</x:v>
      </x:c>
      <x:c r="J112" s="10" t="str">
        <x:v>1H Over 80.5</x:v>
      </x:c>
      <x:c r="K112" s="9" t="str">
        <x:v>Over 80.5</x:v>
      </x:c>
      <x:c r="L112" s="23" t="n">
        <x:v>0.48</x:v>
      </x:c>
      <x:c r="M112" s="9" t="str">
        <x:v>L</x:v>
      </x:c>
      <x:c r="N112" s="9" t="n">
        <x:f>IF(M112="W",1,IF(M112="L",0,""))</x:f>
        <x:v>0</x:v>
      </x:c>
      <x:c r="O112" s="24" t="n">
        <x:f>IF(OR(M112="W",M112="L"),(L112-N112)^2,"")</x:f>
        <x:v>0.2304</x:v>
      </x:c>
      <x:c r="P112" s="9" t="str">
        <x:v>YES</x:v>
      </x:c>
      <x:c r="Q112" s="9" t="str">
        <x:v>40-49</x:v>
      </x:c>
      <x:c r="R112" s="9" t="str">
        <x:v>NO</x:v>
      </x:c>
      <x:c r="S112" s="10" t="str">
        <x:v>PLK/Flashscore/PulsBasketu 2026-06-16</x:v>
      </x:c>
      <x:c r="T112" s="10" t="str">
        <x:f>IF(IFERROR(ISNUMBER(SEARCH("http",S112)),FALSE),"YES","NO")</x:f>
        <x:v>NO</x:v>
      </x:c>
      <x:c r="U112" s="10" t="str">
        <x:v>NO</x:v>
      </x:c>
      <x:c r="V112" s="10" t="str">
        <x:v>NO</x:v>
      </x:c>
      <x:c r="W112" s="10" t="str">
        <x:v>LEGACY_UNVERIFIED_SNAPSHOT: no immutable cutoff/model/source packet</x:v>
      </x:c>
      <x:c r="X112" s="10" t="str">
        <x:v>exact_complement_selection</x:v>
      </x:c>
    </x:row>
    <x:row r="113">
      <x:c r="A113" s="9" t="n">
        <x:v>109</x:v>
      </x:c>
      <x:c r="B113" s="9" t="str">
        <x:v>BKB-20260616-ZAS-LEG</x:v>
      </x:c>
      <x:c r="C113" s="25" t="str">
        <x:v>2026-06-16</x:v>
      </x:c>
      <x:c r="D113" s="9" t="str">
        <x:v>Basketball</x:v>
      </x:c>
      <x:c r="E113" s="9" t="str">
        <x:v>Basketball</x:v>
      </x:c>
      <x:c r="F113" s="10" t="str">
        <x:v>ORLEN Zastal Zielona Gora vs Legia Warszawa</x:v>
      </x:c>
      <x:c r="G113" s="10" t="str">
        <x:v>Poland Orlen Basket Liga Final Game 4</x:v>
      </x:c>
      <x:c r="H113" s="10" t="str">
        <x:v>Zastal +2 Legia -2 full 162.5 Q1 39.5 1H 80.5</x:v>
      </x:c>
      <x:c r="I113" s="9" t="n">
        <x:v>6</x:v>
      </x:c>
      <x:c r="J113" s="10" t="str">
        <x:v>Q1 Over 39.5</x:v>
      </x:c>
      <x:c r="K113" s="9" t="str">
        <x:v>Over 39.5</x:v>
      </x:c>
      <x:c r="L113" s="23" t="n">
        <x:v>0.47</x:v>
      </x:c>
      <x:c r="M113" s="9" t="str">
        <x:v>W</x:v>
      </x:c>
      <x:c r="N113" s="9" t="n">
        <x:f>IF(M113="W",1,IF(M113="L",0,""))</x:f>
        <x:v>1</x:v>
      </x:c>
      <x:c r="O113" s="24" t="n">
        <x:f>IF(OR(M113="W",M113="L"),(L113-N113)^2,"")</x:f>
        <x:v>0.28090000000000004</x:v>
      </x:c>
      <x:c r="P113" s="9" t="str">
        <x:v>YES</x:v>
      </x:c>
      <x:c r="Q113" s="9" t="str">
        <x:v>40-49</x:v>
      </x:c>
      <x:c r="R113" s="9" t="str">
        <x:v>NO</x:v>
      </x:c>
      <x:c r="S113" s="10" t="str">
        <x:v>PLK/Flashscore/PulsBasketu 2026-06-16</x:v>
      </x:c>
      <x:c r="T113" s="10" t="str">
        <x:f>IF(IFERROR(ISNUMBER(SEARCH("http",S113)),FALSE),"YES","NO")</x:f>
        <x:v>NO</x:v>
      </x:c>
      <x:c r="U113" s="10" t="str">
        <x:v>NO</x:v>
      </x:c>
      <x:c r="V113" s="10" t="str">
        <x:v>NO</x:v>
      </x:c>
      <x:c r="W113" s="10" t="str">
        <x:v>LEGACY_UNVERIFIED_SNAPSHOT: no immutable cutoff/model/source packet</x:v>
      </x:c>
      <x:c r="X113" s="10" t="str">
        <x:v>exact_complement_selection</x:v>
      </x:c>
    </x:row>
    <x:row r="114">
      <x:c r="A114" s="9" t="n">
        <x:v>110</x:v>
      </x:c>
      <x:c r="B114" s="9" t="str">
        <x:v>BKB-20260616-ZAS-LEG</x:v>
      </x:c>
      <x:c r="C114" s="25" t="str">
        <x:v>2026-06-16</x:v>
      </x:c>
      <x:c r="D114" s="9" t="str">
        <x:v>Basketball</x:v>
      </x:c>
      <x:c r="E114" s="9" t="str">
        <x:v>Basketball</x:v>
      </x:c>
      <x:c r="F114" s="10" t="str">
        <x:v>ORLEN Zastal Zielona Gora vs Legia Warszawa</x:v>
      </x:c>
      <x:c r="G114" s="10" t="str">
        <x:v>Poland Orlen Basket Liga Final Game 4</x:v>
      </x:c>
      <x:c r="H114" s="10" t="str">
        <x:v>Zastal +2 Legia -2 full 162.5 Q1 39.5 1H 80.5</x:v>
      </x:c>
      <x:c r="I114" s="9" t="n">
        <x:v>7</x:v>
      </x:c>
      <x:c r="J114" s="10" t="str">
        <x:v>Zastal +2.0</x:v>
      </x:c>
      <x:c r="K114" s="9" t="str">
        <x:v>+2.0</x:v>
      </x:c>
      <x:c r="L114" s="23" t="n">
        <x:v>0.42</x:v>
      </x:c>
      <x:c r="M114" s="9" t="str">
        <x:v>W</x:v>
      </x:c>
      <x:c r="N114" s="9" t="n">
        <x:f>IF(M114="W",1,IF(M114="L",0,""))</x:f>
        <x:v>1</x:v>
      </x:c>
      <x:c r="O114" s="24" t="n">
        <x:f>IF(OR(M114="W",M114="L"),(L114-N114)^2,"")</x:f>
        <x:v>0.3364000000000001</x:v>
      </x:c>
      <x:c r="P114" s="9" t="str">
        <x:v>YES</x:v>
      </x:c>
      <x:c r="Q114" s="9" t="str">
        <x:v>40-49</x:v>
      </x:c>
      <x:c r="R114" s="9" t="str">
        <x:v>NO</x:v>
      </x:c>
      <x:c r="S114" s="10" t="str">
        <x:v>PLK/Flashscore/PulsBasketu 2026-06-16</x:v>
      </x:c>
      <x:c r="T114" s="10" t="str">
        <x:f>IF(IFERROR(ISNUMBER(SEARCH("http",S114)),FALSE),"YES","NO")</x:f>
        <x:v>NO</x:v>
      </x:c>
      <x:c r="U114" s="10" t="str">
        <x:v>NO</x:v>
      </x:c>
      <x:c r="V114" s="10" t="str">
        <x:v>NO</x:v>
      </x:c>
      <x:c r="W114" s="10" t="str">
        <x:v>LEGACY_UNVERIFIED_SNAPSHOT: no immutable cutoff/model/source packet</x:v>
      </x:c>
      <x:c r="X114" s="10" t="str">
        <x:v>projection_error; rank_error; exact_complement_selection</x:v>
      </x:c>
    </x:row>
    <x:row r="115">
      <x:c r="A115" s="9" t="n">
        <x:v>111</x:v>
      </x:c>
      <x:c r="B115" s="9" t="str">
        <x:v>BKB-20260616-ZAS-LEG</x:v>
      </x:c>
      <x:c r="C115" s="25" t="str">
        <x:v>2026-06-16</x:v>
      </x:c>
      <x:c r="D115" s="9" t="str">
        <x:v>Basketball</x:v>
      </x:c>
      <x:c r="E115" s="9" t="str">
        <x:v>Basketball</x:v>
      </x:c>
      <x:c r="F115" s="10" t="str">
        <x:v>ORLEN Zastal Zielona Gora vs Legia Warszawa</x:v>
      </x:c>
      <x:c r="G115" s="10" t="str">
        <x:v>Poland Orlen Basket Liga Final Game 4</x:v>
      </x:c>
      <x:c r="H115" s="10" t="str">
        <x:v>Zastal +2 Legia -2 full 162.5 Q1 39.5 1H 80.5</x:v>
      </x:c>
      <x:c r="I115" s="9" t="n">
        <x:v>8</x:v>
      </x:c>
      <x:c r="J115" s="10" t="str">
        <x:v>Full Over 162.5</x:v>
      </x:c>
      <x:c r="K115" s="9" t="str">
        <x:v>Over 162.5</x:v>
      </x:c>
      <x:c r="L115" s="23" t="n">
        <x:v>0.38</x:v>
      </x:c>
      <x:c r="M115" s="9" t="str">
        <x:v>L</x:v>
      </x:c>
      <x:c r="N115" s="9" t="n">
        <x:f>IF(M115="W",1,IF(M115="L",0,""))</x:f>
        <x:v>0</x:v>
      </x:c>
      <x:c r="O115" s="24" t="n">
        <x:f>IF(OR(M115="W",M115="L"),(L115-N115)^2,"")</x:f>
        <x:v>0.1444</x:v>
      </x:c>
      <x:c r="P115" s="9" t="str">
        <x:v>YES</x:v>
      </x:c>
      <x:c r="Q115" s="9" t="str">
        <x:v>30-39</x:v>
      </x:c>
      <x:c r="R115" s="9" t="str">
        <x:v>NO</x:v>
      </x:c>
      <x:c r="S115" s="10" t="str">
        <x:v>PLK/Flashscore/PulsBasketu 2026-06-16</x:v>
      </x:c>
      <x:c r="T115" s="10" t="str">
        <x:f>IF(IFERROR(ISNUMBER(SEARCH("http",S115)),FALSE),"YES","NO")</x:f>
        <x:v>NO</x:v>
      </x:c>
      <x:c r="U115" s="10" t="str">
        <x:v>NO</x:v>
      </x:c>
      <x:c r="V115" s="10" t="str">
        <x:v>NO</x:v>
      </x:c>
      <x:c r="W115" s="10" t="str">
        <x:v>LEGACY_UNVERIFIED_SNAPSHOT: no immutable cutoff/model/source packet</x:v>
      </x:c>
      <x:c r="X115" s="10" t="str">
        <x:v>exact_complement_selection</x:v>
      </x:c>
    </x:row>
    <x:row r="116">
      <x:c r="A116" s="9" t="n">
        <x:v>112</x:v>
      </x:c>
      <x:c r="B116" s="9" t="str">
        <x:v>BKB-20260616-LV-DAL</x:v>
      </x:c>
      <x:c r="C116" s="25" t="str">
        <x:v>2026-06-16</x:v>
      </x:c>
      <x:c r="D116" s="9" t="str">
        <x:v>Basketball</x:v>
      </x:c>
      <x:c r="E116" s="9" t="str">
        <x:v>Basketball</x:v>
      </x:c>
      <x:c r="F116" s="10" t="str">
        <x:v>Las Vegas Aces at Dallas Wings</x:v>
      </x:c>
      <x:c r="G116" s="10" t="str">
        <x:v>WNBA regular season Commissioner's Cup</x:v>
      </x:c>
      <x:c r="H116" s="10" t="str">
        <x:v>Aces -3.5 Wings +3.5 full 177.5 Q1 43.5 1H 86.5</x:v>
      </x:c>
      <x:c r="I116" s="9" t="n">
        <x:v>1</x:v>
      </x:c>
      <x:c r="J116" s="10" t="str">
        <x:v>Aces -3.5</x:v>
      </x:c>
      <x:c r="K116" s="9" t="str">
        <x:v>-3.5</x:v>
      </x:c>
      <x:c r="L116" s="23" t="n">
        <x:v>0.6</x:v>
      </x:c>
      <x:c r="M116" s="9" t="str">
        <x:v>L</x:v>
      </x:c>
      <x:c r="N116" s="9" t="n">
        <x:f>IF(M116="W",1,IF(M116="L",0,""))</x:f>
        <x:v>0</x:v>
      </x:c>
      <x:c r="O116" s="24" t="n">
        <x:f>IF(OR(M116="W",M116="L"),(L116-N116)^2,"")</x:f>
        <x:v>0.36</x:v>
      </x:c>
      <x:c r="P116" s="9" t="str">
        <x:v>YES</x:v>
      </x:c>
      <x:c r="Q116" s="9" t="str">
        <x:v>60-69</x:v>
      </x:c>
      <x:c r="R116" s="9" t="str">
        <x:v>NO</x:v>
      </x:c>
      <x:c r="S116" s="10" t="str">
        <x:v>ESPN API event 401856992 2026-06-16</x:v>
      </x:c>
      <x:c r="T116" s="10" t="str">
        <x:f>IF(IFERROR(ISNUMBER(SEARCH("http",S116)),FALSE),"YES","NO")</x:f>
        <x:v>NO</x:v>
      </x:c>
      <x:c r="U116" s="10" t="str">
        <x:v>NO</x:v>
      </x:c>
      <x:c r="V116" s="10" t="str">
        <x:v>NO</x:v>
      </x:c>
      <x:c r="W116" s="10" t="str">
        <x:v>LEGACY_UNVERIFIED_SNAPSHOT: no immutable cutoff/model/source packet</x:v>
      </x:c>
      <x:c r="X116" s="10" t="str">
        <x:v>projection_error; rank_error; exact_complement_selection</x:v>
      </x:c>
    </x:row>
    <x:row r="117">
      <x:c r="A117" s="9" t="n">
        <x:v>113</x:v>
      </x:c>
      <x:c r="B117" s="9" t="str">
        <x:v>BKB-20260616-LV-DAL</x:v>
      </x:c>
      <x:c r="C117" s="25" t="str">
        <x:v>2026-06-16</x:v>
      </x:c>
      <x:c r="D117" s="9" t="str">
        <x:v>Basketball</x:v>
      </x:c>
      <x:c r="E117" s="9" t="str">
        <x:v>Basketball</x:v>
      </x:c>
      <x:c r="F117" s="10" t="str">
        <x:v>Las Vegas Aces at Dallas Wings</x:v>
      </x:c>
      <x:c r="G117" s="10" t="str">
        <x:v>WNBA regular season Commissioner's Cup</x:v>
      </x:c>
      <x:c r="H117" s="10" t="str">
        <x:v>Aces -3.5 Wings +3.5 full 177.5 Q1 43.5 1H 86.5</x:v>
      </x:c>
      <x:c r="I117" s="9" t="n">
        <x:v>2</x:v>
      </x:c>
      <x:c r="J117" s="10" t="str">
        <x:v>1H Over 86.5</x:v>
      </x:c>
      <x:c r="K117" s="9" t="str">
        <x:v>Over 86.5</x:v>
      </x:c>
      <x:c r="L117" s="23" t="n">
        <x:v>0.59</x:v>
      </x:c>
      <x:c r="M117" s="9" t="str">
        <x:v>W</x:v>
      </x:c>
      <x:c r="N117" s="9" t="n">
        <x:f>IF(M117="W",1,IF(M117="L",0,""))</x:f>
        <x:v>1</x:v>
      </x:c>
      <x:c r="O117" s="24" t="n">
        <x:f>IF(OR(M117="W",M117="L"),(L117-N117)^2,"")</x:f>
        <x:v>0.16810000000000003</x:v>
      </x:c>
      <x:c r="P117" s="9" t="str">
        <x:v>YES</x:v>
      </x:c>
      <x:c r="Q117" s="9" t="str">
        <x:v>50-59</x:v>
      </x:c>
      <x:c r="R117" s="9" t="str">
        <x:v>NO</x:v>
      </x:c>
      <x:c r="S117" s="10" t="str">
        <x:v>ESPN API event 401856992 2026-06-16</x:v>
      </x:c>
      <x:c r="T117" s="10" t="str">
        <x:f>IF(IFERROR(ISNUMBER(SEARCH("http",S117)),FALSE),"YES","NO")</x:f>
        <x:v>NO</x:v>
      </x:c>
      <x:c r="U117" s="10" t="str">
        <x:v>NO</x:v>
      </x:c>
      <x:c r="V117" s="10" t="str">
        <x:v>NO</x:v>
      </x:c>
      <x:c r="W117" s="10" t="str">
        <x:v>LEGACY_UNVERIFIED_SNAPSHOT: no immutable cutoff/model/source packet</x:v>
      </x:c>
      <x:c r="X117" s="10" t="str">
        <x:v>exact_complement_selection</x:v>
      </x:c>
    </x:row>
    <x:row r="118">
      <x:c r="A118" s="9" t="n">
        <x:v>114</x:v>
      </x:c>
      <x:c r="B118" s="9" t="str">
        <x:v>BKB-20260616-LV-DAL</x:v>
      </x:c>
      <x:c r="C118" s="25" t="str">
        <x:v>2026-06-16</x:v>
      </x:c>
      <x:c r="D118" s="9" t="str">
        <x:v>Basketball</x:v>
      </x:c>
      <x:c r="E118" s="9" t="str">
        <x:v>Basketball</x:v>
      </x:c>
      <x:c r="F118" s="10" t="str">
        <x:v>Las Vegas Aces at Dallas Wings</x:v>
      </x:c>
      <x:c r="G118" s="10" t="str">
        <x:v>WNBA regular season Commissioner's Cup</x:v>
      </x:c>
      <x:c r="H118" s="10" t="str">
        <x:v>Aces -3.5 Wings +3.5 full 177.5 Q1 43.5 1H 86.5</x:v>
      </x:c>
      <x:c r="I118" s="9" t="n">
        <x:v>3</x:v>
      </x:c>
      <x:c r="J118" s="10" t="str">
        <x:v>Full Over 177.5</x:v>
      </x:c>
      <x:c r="K118" s="9" t="str">
        <x:v>Over 177.5</x:v>
      </x:c>
      <x:c r="L118" s="23" t="n">
        <x:v>0.57</x:v>
      </x:c>
      <x:c r="M118" s="9" t="str">
        <x:v>L</x:v>
      </x:c>
      <x:c r="N118" s="9" t="n">
        <x:f>IF(M118="W",1,IF(M118="L",0,""))</x:f>
        <x:v>0</x:v>
      </x:c>
      <x:c r="O118" s="24" t="n">
        <x:f>IF(OR(M118="W",M118="L"),(L118-N118)^2,"")</x:f>
        <x:v>0.32489999999999997</x:v>
      </x:c>
      <x:c r="P118" s="9" t="str">
        <x:v>YES</x:v>
      </x:c>
      <x:c r="Q118" s="9" t="str">
        <x:v>50-59</x:v>
      </x:c>
      <x:c r="R118" s="9" t="str">
        <x:v>NO</x:v>
      </x:c>
      <x:c r="S118" s="10" t="str">
        <x:v>ESPN API event 401856992 2026-06-16</x:v>
      </x:c>
      <x:c r="T118" s="10" t="str">
        <x:f>IF(IFERROR(ISNUMBER(SEARCH("http",S118)),FALSE),"YES","NO")</x:f>
        <x:v>NO</x:v>
      </x:c>
      <x:c r="U118" s="10" t="str">
        <x:v>NO</x:v>
      </x:c>
      <x:c r="V118" s="10" t="str">
        <x:v>NO</x:v>
      </x:c>
      <x:c r="W118" s="10" t="str">
        <x:v>LEGACY_UNVERIFIED_SNAPSHOT: no immutable cutoff/model/source packet</x:v>
      </x:c>
      <x:c r="X118" s="10" t="str">
        <x:v>projection_error; exact_complement_selection</x:v>
      </x:c>
    </x:row>
    <x:row r="119">
      <x:c r="A119" s="9" t="n">
        <x:v>115</x:v>
      </x:c>
      <x:c r="B119" s="9" t="str">
        <x:v>BKB-20260616-LV-DAL</x:v>
      </x:c>
      <x:c r="C119" s="25" t="str">
        <x:v>2026-06-16</x:v>
      </x:c>
      <x:c r="D119" s="9" t="str">
        <x:v>Basketball</x:v>
      </x:c>
      <x:c r="E119" s="9" t="str">
        <x:v>Basketball</x:v>
      </x:c>
      <x:c r="F119" s="10" t="str">
        <x:v>Las Vegas Aces at Dallas Wings</x:v>
      </x:c>
      <x:c r="G119" s="10" t="str">
        <x:v>WNBA regular season Commissioner's Cup</x:v>
      </x:c>
      <x:c r="H119" s="10" t="str">
        <x:v>Aces -3.5 Wings +3.5 full 177.5 Q1 43.5 1H 86.5</x:v>
      </x:c>
      <x:c r="I119" s="9" t="n">
        <x:v>4</x:v>
      </x:c>
      <x:c r="J119" s="10" t="str">
        <x:v>Q1 Over 43.5</x:v>
      </x:c>
      <x:c r="K119" s="9" t="str">
        <x:v>Over 43.5</x:v>
      </x:c>
      <x:c r="L119" s="23" t="n">
        <x:v>0.54</x:v>
      </x:c>
      <x:c r="M119" s="9" t="str">
        <x:v>W</x:v>
      </x:c>
      <x:c r="N119" s="9" t="n">
        <x:f>IF(M119="W",1,IF(M119="L",0,""))</x:f>
        <x:v>1</x:v>
      </x:c>
      <x:c r="O119" s="24" t="n">
        <x:f>IF(OR(M119="W",M119="L"),(L119-N119)^2,"")</x:f>
        <x:v>0.21159999999999995</x:v>
      </x:c>
      <x:c r="P119" s="9" t="str">
        <x:v>YES</x:v>
      </x:c>
      <x:c r="Q119" s="9" t="str">
        <x:v>50-59</x:v>
      </x:c>
      <x:c r="R119" s="9" t="str">
        <x:v>NO</x:v>
      </x:c>
      <x:c r="S119" s="10" t="str">
        <x:v>ESPN API event 401856992 2026-06-16</x:v>
      </x:c>
      <x:c r="T119" s="10" t="str">
        <x:f>IF(IFERROR(ISNUMBER(SEARCH("http",S119)),FALSE),"YES","NO")</x:f>
        <x:v>NO</x:v>
      </x:c>
      <x:c r="U119" s="10" t="str">
        <x:v>NO</x:v>
      </x:c>
      <x:c r="V119" s="10" t="str">
        <x:v>NO</x:v>
      </x:c>
      <x:c r="W119" s="10" t="str">
        <x:v>LEGACY_UNVERIFIED_SNAPSHOT: no immutable cutoff/model/source packet</x:v>
      </x:c>
      <x:c r="X119" s="10" t="str">
        <x:v>exact_complement_selection</x:v>
      </x:c>
    </x:row>
    <x:row r="120">
      <x:c r="A120" s="9" t="n">
        <x:v>116</x:v>
      </x:c>
      <x:c r="B120" s="9" t="str">
        <x:v>BKB-20260616-LV-DAL</x:v>
      </x:c>
      <x:c r="C120" s="25" t="str">
        <x:v>2026-06-16</x:v>
      </x:c>
      <x:c r="D120" s="9" t="str">
        <x:v>Basketball</x:v>
      </x:c>
      <x:c r="E120" s="9" t="str">
        <x:v>Basketball</x:v>
      </x:c>
      <x:c r="F120" s="10" t="str">
        <x:v>Las Vegas Aces at Dallas Wings</x:v>
      </x:c>
      <x:c r="G120" s="10" t="str">
        <x:v>WNBA regular season Commissioner's Cup</x:v>
      </x:c>
      <x:c r="H120" s="10" t="str">
        <x:v>Aces -3.5 Wings +3.5 full 177.5 Q1 43.5 1H 86.5</x:v>
      </x:c>
      <x:c r="I120" s="9" t="n">
        <x:v>5</x:v>
      </x:c>
      <x:c r="J120" s="10" t="str">
        <x:v>Q1 Under 43.5</x:v>
      </x:c>
      <x:c r="K120" s="9" t="str">
        <x:v>Under 43.5</x:v>
      </x:c>
      <x:c r="L120" s="23" t="n">
        <x:v>0.46</x:v>
      </x:c>
      <x:c r="M120" s="9" t="str">
        <x:v>L</x:v>
      </x:c>
      <x:c r="N120" s="9" t="n">
        <x:f>IF(M120="W",1,IF(M120="L",0,""))</x:f>
        <x:v>0</x:v>
      </x:c>
      <x:c r="O120" s="24" t="n">
        <x:f>IF(OR(M120="W",M120="L"),(L120-N120)^2,"")</x:f>
        <x:v>0.2116</x:v>
      </x:c>
      <x:c r="P120" s="9" t="str">
        <x:v>YES</x:v>
      </x:c>
      <x:c r="Q120" s="9" t="str">
        <x:v>40-49</x:v>
      </x:c>
      <x:c r="R120" s="9" t="str">
        <x:v>NO</x:v>
      </x:c>
      <x:c r="S120" s="10" t="str">
        <x:v>ESPN API event 401856992 2026-06-16</x:v>
      </x:c>
      <x:c r="T120" s="10" t="str">
        <x:f>IF(IFERROR(ISNUMBER(SEARCH("http",S120)),FALSE),"YES","NO")</x:f>
        <x:v>NO</x:v>
      </x:c>
      <x:c r="U120" s="10" t="str">
        <x:v>NO</x:v>
      </x:c>
      <x:c r="V120" s="10" t="str">
        <x:v>NO</x:v>
      </x:c>
      <x:c r="W120" s="10" t="str">
        <x:v>LEGACY_UNVERIFIED_SNAPSHOT: no immutable cutoff/model/source packet</x:v>
      </x:c>
      <x:c r="X120" s="10" t="str">
        <x:v>exact_complement_selection</x:v>
      </x:c>
    </x:row>
    <x:row r="121">
      <x:c r="A121" s="9" t="n">
        <x:v>117</x:v>
      </x:c>
      <x:c r="B121" s="9" t="str">
        <x:v>BKB-20260616-LV-DAL</x:v>
      </x:c>
      <x:c r="C121" s="25" t="str">
        <x:v>2026-06-16</x:v>
      </x:c>
      <x:c r="D121" s="9" t="str">
        <x:v>Basketball</x:v>
      </x:c>
      <x:c r="E121" s="9" t="str">
        <x:v>Basketball</x:v>
      </x:c>
      <x:c r="F121" s="10" t="str">
        <x:v>Las Vegas Aces at Dallas Wings</x:v>
      </x:c>
      <x:c r="G121" s="10" t="str">
        <x:v>WNBA regular season Commissioner's Cup</x:v>
      </x:c>
      <x:c r="H121" s="10" t="str">
        <x:v>Aces -3.5 Wings +3.5 full 177.5 Q1 43.5 1H 86.5</x:v>
      </x:c>
      <x:c r="I121" s="9" t="n">
        <x:v>6</x:v>
      </x:c>
      <x:c r="J121" s="10" t="str">
        <x:v>Full Under 177.5</x:v>
      </x:c>
      <x:c r="K121" s="9" t="str">
        <x:v>Under 177.5</x:v>
      </x:c>
      <x:c r="L121" s="23" t="n">
        <x:v>0.43</x:v>
      </x:c>
      <x:c r="M121" s="9" t="str">
        <x:v>W</x:v>
      </x:c>
      <x:c r="N121" s="9" t="n">
        <x:f>IF(M121="W",1,IF(M121="L",0,""))</x:f>
        <x:v>1</x:v>
      </x:c>
      <x:c r="O121" s="24" t="n">
        <x:f>IF(OR(M121="W",M121="L"),(L121-N121)^2,"")</x:f>
        <x:v>0.3249000000000001</x:v>
      </x:c>
      <x:c r="P121" s="9" t="str">
        <x:v>YES</x:v>
      </x:c>
      <x:c r="Q121" s="9" t="str">
        <x:v>40-49</x:v>
      </x:c>
      <x:c r="R121" s="9" t="str">
        <x:v>NO</x:v>
      </x:c>
      <x:c r="S121" s="10" t="str">
        <x:v>ESPN API event 401856992 2026-06-16</x:v>
      </x:c>
      <x:c r="T121" s="10" t="str">
        <x:f>IF(IFERROR(ISNUMBER(SEARCH("http",S121)),FALSE),"YES","NO")</x:f>
        <x:v>NO</x:v>
      </x:c>
      <x:c r="U121" s="10" t="str">
        <x:v>NO</x:v>
      </x:c>
      <x:c r="V121" s="10" t="str">
        <x:v>NO</x:v>
      </x:c>
      <x:c r="W121" s="10" t="str">
        <x:v>LEGACY_UNVERIFIED_SNAPSHOT: no immutable cutoff/model/source packet</x:v>
      </x:c>
      <x:c r="X121" s="10" t="str">
        <x:v>projection_error; exact_complement_selection</x:v>
      </x:c>
    </x:row>
    <x:row r="122">
      <x:c r="A122" s="9" t="n">
        <x:v>118</x:v>
      </x:c>
      <x:c r="B122" s="9" t="str">
        <x:v>BKB-20260616-LV-DAL</x:v>
      </x:c>
      <x:c r="C122" s="25" t="str">
        <x:v>2026-06-16</x:v>
      </x:c>
      <x:c r="D122" s="9" t="str">
        <x:v>Basketball</x:v>
      </x:c>
      <x:c r="E122" s="9" t="str">
        <x:v>Basketball</x:v>
      </x:c>
      <x:c r="F122" s="10" t="str">
        <x:v>Las Vegas Aces at Dallas Wings</x:v>
      </x:c>
      <x:c r="G122" s="10" t="str">
        <x:v>WNBA regular season Commissioner's Cup</x:v>
      </x:c>
      <x:c r="H122" s="10" t="str">
        <x:v>Aces -3.5 Wings +3.5 full 177.5 Q1 43.5 1H 86.5</x:v>
      </x:c>
      <x:c r="I122" s="9" t="n">
        <x:v>7</x:v>
      </x:c>
      <x:c r="J122" s="10" t="str">
        <x:v>1H Under 86.5</x:v>
      </x:c>
      <x:c r="K122" s="9" t="str">
        <x:v>Under 86.5</x:v>
      </x:c>
      <x:c r="L122" s="23" t="n">
        <x:v>0.41</x:v>
      </x:c>
      <x:c r="M122" s="9" t="str">
        <x:v>L</x:v>
      </x:c>
      <x:c r="N122" s="9" t="n">
        <x:f>IF(M122="W",1,IF(M122="L",0,""))</x:f>
        <x:v>0</x:v>
      </x:c>
      <x:c r="O122" s="24" t="n">
        <x:f>IF(OR(M122="W",M122="L"),(L122-N122)^2,"")</x:f>
        <x:v>0.16809999999999997</x:v>
      </x:c>
      <x:c r="P122" s="9" t="str">
        <x:v>YES</x:v>
      </x:c>
      <x:c r="Q122" s="9" t="str">
        <x:v>40-49</x:v>
      </x:c>
      <x:c r="R122" s="9" t="str">
        <x:v>NO</x:v>
      </x:c>
      <x:c r="S122" s="10" t="str">
        <x:v>ESPN API event 401856992 2026-06-16</x:v>
      </x:c>
      <x:c r="T122" s="10" t="str">
        <x:f>IF(IFERROR(ISNUMBER(SEARCH("http",S122)),FALSE),"YES","NO")</x:f>
        <x:v>NO</x:v>
      </x:c>
      <x:c r="U122" s="10" t="str">
        <x:v>NO</x:v>
      </x:c>
      <x:c r="V122" s="10" t="str">
        <x:v>NO</x:v>
      </x:c>
      <x:c r="W122" s="10" t="str">
        <x:v>LEGACY_UNVERIFIED_SNAPSHOT: no immutable cutoff/model/source packet</x:v>
      </x:c>
      <x:c r="X122" s="10" t="str">
        <x:v>exact_complement_selection</x:v>
      </x:c>
    </x:row>
    <x:row r="123">
      <x:c r="A123" s="9" t="n">
        <x:v>119</x:v>
      </x:c>
      <x:c r="B123" s="9" t="str">
        <x:v>BKB-20260616-LV-DAL</x:v>
      </x:c>
      <x:c r="C123" s="25" t="str">
        <x:v>2026-06-16</x:v>
      </x:c>
      <x:c r="D123" s="9" t="str">
        <x:v>Basketball</x:v>
      </x:c>
      <x:c r="E123" s="9" t="str">
        <x:v>Basketball</x:v>
      </x:c>
      <x:c r="F123" s="10" t="str">
        <x:v>Las Vegas Aces at Dallas Wings</x:v>
      </x:c>
      <x:c r="G123" s="10" t="str">
        <x:v>WNBA regular season Commissioner's Cup</x:v>
      </x:c>
      <x:c r="H123" s="10" t="str">
        <x:v>Aces -3.5 Wings +3.5 full 177.5 Q1 43.5 1H 86.5</x:v>
      </x:c>
      <x:c r="I123" s="9" t="n">
        <x:v>8</x:v>
      </x:c>
      <x:c r="J123" s="10" t="str">
        <x:v>Wings +3.5</x:v>
      </x:c>
      <x:c r="K123" s="9" t="str">
        <x:v>Wings +3.5</x:v>
      </x:c>
      <x:c r="L123" s="23" t="n">
        <x:v>0.4</x:v>
      </x:c>
      <x:c r="M123" s="9" t="str">
        <x:v>W</x:v>
      </x:c>
      <x:c r="N123" s="9" t="n">
        <x:f>IF(M123="W",1,IF(M123="L",0,""))</x:f>
        <x:v>1</x:v>
      </x:c>
      <x:c r="O123" s="24" t="n">
        <x:f>IF(OR(M123="W",M123="L"),(L123-N123)^2,"")</x:f>
        <x:v>0.36</x:v>
      </x:c>
      <x:c r="P123" s="9" t="str">
        <x:v>YES</x:v>
      </x:c>
      <x:c r="Q123" s="9" t="str">
        <x:v>40-49</x:v>
      </x:c>
      <x:c r="R123" s="9" t="str">
        <x:v>NO</x:v>
      </x:c>
      <x:c r="S123" s="10" t="str">
        <x:v>ESPN API event 401856992 2026-06-16</x:v>
      </x:c>
      <x:c r="T123" s="10" t="str">
        <x:f>IF(IFERROR(ISNUMBER(SEARCH("http",S123)),FALSE),"YES","NO")</x:f>
        <x:v>NO</x:v>
      </x:c>
      <x:c r="U123" s="10" t="str">
        <x:v>NO</x:v>
      </x:c>
      <x:c r="V123" s="10" t="str">
        <x:v>NO</x:v>
      </x:c>
      <x:c r="W123" s="10" t="str">
        <x:v>LEGACY_UNVERIFIED_SNAPSHOT: no immutable cutoff/model/source packet</x:v>
      </x:c>
      <x:c r="X123" s="10" t="str">
        <x:v>projection_error; rank_error; exact_complement_selection</x:v>
      </x:c>
    </x:row>
    <x:row r="124">
      <x:c r="A124" s="9" t="n">
        <x:v>120</x:v>
      </x:c>
      <x:c r="B124" s="9" t="str">
        <x:v>SOC-20260616-IRN-NZL</x:v>
      </x:c>
      <x:c r="C124" s="25" t="str">
        <x:v>2026-06-16</x:v>
      </x:c>
      <x:c r="D124" s="9" t="str">
        <x:v>Soccer</x:v>
      </x:c>
      <x:c r="E124" s="9" t="str">
        <x:v>Soccer</x:v>
      </x:c>
      <x:c r="F124" s="10" t="str">
        <x:v>Iran vs New Zealand</x:v>
      </x:c>
      <x:c r="G124" s="10" t="str">
        <x:v>FIFA World Cup Group G</x:v>
      </x:c>
      <x:c r="H124" s="10" t="str">
        <x:v>NZ TT Under 2.5 total Under 4.5 Iran/DC NZ win</x:v>
      </x:c>
      <x:c r="I124" s="9" t="n">
        <x:v>1</x:v>
      </x:c>
      <x:c r="J124" s="10" t="str">
        <x:v>New Zealand Team Total Under 2.5</x:v>
      </x:c>
      <x:c r="K124" s="9" t="str">
        <x:v>Under 2.5</x:v>
      </x:c>
      <x:c r="L124" s="23" t="n">
        <x:v>0.82</x:v>
      </x:c>
      <x:c r="M124" s="9" t="str">
        <x:v>W</x:v>
      </x:c>
      <x:c r="N124" s="9" t="n">
        <x:f>IF(M124="W",1,IF(M124="L",0,""))</x:f>
        <x:v>1</x:v>
      </x:c>
      <x:c r="O124" s="24" t="n">
        <x:f>IF(OR(M124="W",M124="L"),(L124-N124)^2,"")</x:f>
        <x:v>0.03240000000000002</x:v>
      </x:c>
      <x:c r="P124" s="9" t="str">
        <x:v>NO</x:v>
      </x:c>
      <x:c r="Q124" s="9" t="str">
        <x:v>80+</x:v>
      </x:c>
      <x:c r="R124" s="9" t="str">
        <x:v>NO</x:v>
      </x:c>
      <x:c r="S124" s="10" t="str">
        <x:v>ESPN/Guardian/Al Jazeera/FOX 2026-06-16</x:v>
      </x:c>
      <x:c r="T124" s="10" t="str">
        <x:f>IF(IFERROR(ISNUMBER(SEARCH("http",S124)),FALSE),"YES","NO")</x:f>
        <x:v>NO</x:v>
      </x:c>
      <x:c r="U124" s="10" t="str">
        <x:v>NO</x:v>
      </x:c>
      <x:c r="V124" s="10" t="str">
        <x:v>NO</x:v>
      </x:c>
      <x:c r="W124" s="10" t="str">
        <x:v>LEGACY_UNVERIFIED_SNAPSHOT: no immutable cutoff/model/source packet</x:v>
      </x:c>
      <x:c r="X124" s="10" t="str">
        <x:v>legacy schema only</x:v>
      </x:c>
    </x:row>
    <x:row r="125">
      <x:c r="A125" s="9" t="n">
        <x:v>121</x:v>
      </x:c>
      <x:c r="B125" s="9" t="str">
        <x:v>SOC-20260616-IRN-NZL</x:v>
      </x:c>
      <x:c r="C125" s="25" t="str">
        <x:v>2026-06-16</x:v>
      </x:c>
      <x:c r="D125" s="9" t="str">
        <x:v>Soccer</x:v>
      </x:c>
      <x:c r="E125" s="9" t="str">
        <x:v>Soccer</x:v>
      </x:c>
      <x:c r="F125" s="10" t="str">
        <x:v>Iran vs New Zealand</x:v>
      </x:c>
      <x:c r="G125" s="10" t="str">
        <x:v>FIFA World Cup Group G</x:v>
      </x:c>
      <x:c r="H125" s="10" t="str">
        <x:v>NZ TT Under 2.5 total Under 4.5 Iran/DC NZ win</x:v>
      </x:c>
      <x:c r="I125" s="9" t="n">
        <x:v>2</x:v>
      </x:c>
      <x:c r="J125" s="10" t="str">
        <x:v>Total Under 4.5</x:v>
      </x:c>
      <x:c r="K125" s="9" t="str">
        <x:v>Under 4.5</x:v>
      </x:c>
      <x:c r="L125" s="23" t="n">
        <x:v>0.78</x:v>
      </x:c>
      <x:c r="M125" s="9" t="str">
        <x:v>W</x:v>
      </x:c>
      <x:c r="N125" s="9" t="n">
        <x:f>IF(M125="W",1,IF(M125="L",0,""))</x:f>
        <x:v>1</x:v>
      </x:c>
      <x:c r="O125" s="24" t="n">
        <x:f>IF(OR(M125="W",M125="L"),(L125-N125)^2,"")</x:f>
        <x:v>0.04839999999999999</x:v>
      </x:c>
      <x:c r="P125" s="9" t="str">
        <x:v>NO</x:v>
      </x:c>
      <x:c r="Q125" s="9" t="str">
        <x:v>70-79</x:v>
      </x:c>
      <x:c r="R125" s="9" t="str">
        <x:v>NO</x:v>
      </x:c>
      <x:c r="S125" s="10" t="str">
        <x:v>ESPN/Guardian/Al Jazeera/FOX 2026-06-16</x:v>
      </x:c>
      <x:c r="T125" s="10" t="str">
        <x:f>IF(IFERROR(ISNUMBER(SEARCH("http",S125)),FALSE),"YES","NO")</x:f>
        <x:v>NO</x:v>
      </x:c>
      <x:c r="U125" s="10" t="str">
        <x:v>NO</x:v>
      </x:c>
      <x:c r="V125" s="10" t="str">
        <x:v>NO</x:v>
      </x:c>
      <x:c r="W125" s="10" t="str">
        <x:v>LEGACY_UNVERIFIED_SNAPSHOT: no immutable cutoff/model/source packet</x:v>
      </x:c>
      <x:c r="X125" s="10" t="str">
        <x:v>legacy schema only</x:v>
      </x:c>
    </x:row>
    <x:row r="126">
      <x:c r="A126" s="9" t="n">
        <x:v>122</x:v>
      </x:c>
      <x:c r="B126" s="9" t="str">
        <x:v>SOC-20260616-IRN-NZL</x:v>
      </x:c>
      <x:c r="C126" s="25" t="str">
        <x:v>2026-06-16</x:v>
      </x:c>
      <x:c r="D126" s="9" t="str">
        <x:v>Soccer</x:v>
      </x:c>
      <x:c r="E126" s="9" t="str">
        <x:v>Soccer</x:v>
      </x:c>
      <x:c r="F126" s="10" t="str">
        <x:v>Iran vs New Zealand</x:v>
      </x:c>
      <x:c r="G126" s="10" t="str">
        <x:v>FIFA World Cup Group G</x:v>
      </x:c>
      <x:c r="H126" s="10" t="str">
        <x:v>NZ TT Under 2.5 total Under 4.5 Iran/DC NZ win</x:v>
      </x:c>
      <x:c r="I126" s="9" t="n">
        <x:v>3</x:v>
      </x:c>
      <x:c r="J126" s="10" t="str">
        <x:v>Iran or Draw</x:v>
      </x:c>
      <x:c r="K126" s="9" t="str">
        <x:v>Double chance</x:v>
      </x:c>
      <x:c r="L126" s="23" t="n">
        <x:v>0.72</x:v>
      </x:c>
      <x:c r="M126" s="9" t="str">
        <x:v>W</x:v>
      </x:c>
      <x:c r="N126" s="9" t="n">
        <x:f>IF(M126="W",1,IF(M126="L",0,""))</x:f>
        <x:v>1</x:v>
      </x:c>
      <x:c r="O126" s="24" t="n">
        <x:f>IF(OR(M126="W",M126="L"),(L126-N126)^2,"")</x:f>
        <x:v>0.07840000000000001</x:v>
      </x:c>
      <x:c r="P126" s="9" t="str">
        <x:v>NO</x:v>
      </x:c>
      <x:c r="Q126" s="9" t="str">
        <x:v>70-79</x:v>
      </x:c>
      <x:c r="R126" s="9" t="str">
        <x:v>NO</x:v>
      </x:c>
      <x:c r="S126" s="10" t="str">
        <x:v>ESPN/Guardian/Al Jazeera/FOX 2026-06-16</x:v>
      </x:c>
      <x:c r="T126" s="10" t="str">
        <x:f>IF(IFERROR(ISNUMBER(SEARCH("http",S126)),FALSE),"YES","NO")</x:f>
        <x:v>NO</x:v>
      </x:c>
      <x:c r="U126" s="10" t="str">
        <x:v>NO</x:v>
      </x:c>
      <x:c r="V126" s="10" t="str">
        <x:v>NO</x:v>
      </x:c>
      <x:c r="W126" s="10" t="str">
        <x:v>LEGACY_UNVERIFIED_SNAPSHOT: no immutable cutoff/model/source packet</x:v>
      </x:c>
      <x:c r="X126" s="10" t="str">
        <x:v>legacy schema only</x:v>
      </x:c>
    </x:row>
    <x:row r="127">
      <x:c r="A127" s="9" t="n">
        <x:v>123</x:v>
      </x:c>
      <x:c r="B127" s="9" t="str">
        <x:v>SOC-20260616-IRN-NZL</x:v>
      </x:c>
      <x:c r="C127" s="25" t="str">
        <x:v>2026-06-16</x:v>
      </x:c>
      <x:c r="D127" s="9" t="str">
        <x:v>Soccer</x:v>
      </x:c>
      <x:c r="E127" s="9" t="str">
        <x:v>Soccer</x:v>
      </x:c>
      <x:c r="F127" s="10" t="str">
        <x:v>Iran vs New Zealand</x:v>
      </x:c>
      <x:c r="G127" s="10" t="str">
        <x:v>FIFA World Cup Group G</x:v>
      </x:c>
      <x:c r="H127" s="10" t="str">
        <x:v>NZ TT Under 2.5 total Under 4.5 Iran/DC NZ win</x:v>
      </x:c>
      <x:c r="I127" s="9" t="n">
        <x:v>4</x:v>
      </x:c>
      <x:c r="J127" s="10" t="str">
        <x:v>New Zealand to Win</x:v>
      </x:c>
      <x:c r="K127" s="9" t="str">
        <x:v>NZ win</x:v>
      </x:c>
      <x:c r="L127" s="23" t="n">
        <x:v>0.18</x:v>
      </x:c>
      <x:c r="M127" s="9" t="str">
        <x:v>L</x:v>
      </x:c>
      <x:c r="N127" s="9" t="n">
        <x:f>IF(M127="W",1,IF(M127="L",0,""))</x:f>
        <x:v>0</x:v>
      </x:c>
      <x:c r="O127" s="24" t="n">
        <x:f>IF(OR(M127="W",M127="L"),(L127-N127)^2,"")</x:f>
        <x:v>0.0324</x:v>
      </x:c>
      <x:c r="P127" s="9" t="str">
        <x:v>NO</x:v>
      </x:c>
      <x:c r="Q127" s="9" t="str">
        <x:v>10-19</x:v>
      </x:c>
      <x:c r="R127" s="9" t="str">
        <x:v>NO</x:v>
      </x:c>
      <x:c r="S127" s="10" t="str">
        <x:v>ESPN/Guardian/Al Jazeera/FOX 2026-06-16</x:v>
      </x:c>
      <x:c r="T127" s="10" t="str">
        <x:f>IF(IFERROR(ISNUMBER(SEARCH("http",S127)),FALSE),"YES","NO")</x:f>
        <x:v>NO</x:v>
      </x:c>
      <x:c r="U127" s="10" t="str">
        <x:v>NO</x:v>
      </x:c>
      <x:c r="V127" s="10" t="str">
        <x:v>NO</x:v>
      </x:c>
      <x:c r="W127" s="10" t="str">
        <x:v>LEGACY_UNVERIFIED_SNAPSHOT: no immutable cutoff/model/source packet</x:v>
      </x:c>
      <x:c r="X127" s="10" t="str">
        <x:v>legacy schema only</x:v>
      </x:c>
    </x:row>
    <x:row r="128">
      <x:c r="A128" s="9" t="n">
        <x:v>124</x:v>
      </x:c>
      <x:c r="B128" s="9" t="str">
        <x:v>KBO-20260616-LOT-SSG</x:v>
      </x:c>
      <x:c r="C128" s="25" t="str">
        <x:v>2026-06-16</x:v>
      </x:c>
      <x:c r="D128" s="9" t="str">
        <x:v>Baseball</x:v>
      </x:c>
      <x:c r="E128" s="9" t="str">
        <x:v>Baseball</x:v>
      </x:c>
      <x:c r="F128" s="10" t="str">
        <x:v>Lotte Giants at SSG Landers</x:v>
      </x:c>
      <x:c r="G128" s="10" t="str">
        <x:v>KBO regular season</x:v>
      </x:c>
      <x:c r="H128" s="10" t="str">
        <x:v>Landers +1.5 Giants +0.5 total 9.5</x:v>
      </x:c>
      <x:c r="I128" s="9" t="n">
        <x:v>1</x:v>
      </x:c>
      <x:c r="J128" s="10" t="str">
        <x:v>Landers +1.5</x:v>
      </x:c>
      <x:c r="K128" s="9" t="str">
        <x:v>Landers +1.5</x:v>
      </x:c>
      <x:c r="L128" s="23" t="n">
        <x:v>0.58</x:v>
      </x:c>
      <x:c r="M128" s="9" t="str">
        <x:v>L</x:v>
      </x:c>
      <x:c r="N128" s="9" t="n">
        <x:f>IF(M128="W",1,IF(M128="L",0,""))</x:f>
        <x:v>0</x:v>
      </x:c>
      <x:c r="O128" s="24" t="n">
        <x:f>IF(OR(M128="W",M128="L"),(L128-N128)^2,"")</x:f>
        <x:v>0.3364</x:v>
      </x:c>
      <x:c r="P128" s="9" t="str">
        <x:v>NO</x:v>
      </x:c>
      <x:c r="Q128" s="9" t="str">
        <x:v>50-59</x:v>
      </x:c>
      <x:c r="R128" s="9" t="str">
        <x:v>NO</x:v>
      </x:c>
      <x:c r="S128" s="10" t="str">
        <x:v>MyKBO final 2026-06-16</x:v>
      </x:c>
      <x:c r="T128" s="10" t="str">
        <x:f>IF(IFERROR(ISNUMBER(SEARCH("http",S128)),FALSE),"YES","NO")</x:f>
        <x:v>NO</x:v>
      </x:c>
      <x:c r="U128" s="10" t="str">
        <x:v>NO</x:v>
      </x:c>
      <x:c r="V128" s="10" t="str">
        <x:v>NO</x:v>
      </x:c>
      <x:c r="W128" s="10" t="str">
        <x:v>LEGACY_UNVERIFIED_SNAPSHOT: no immutable cutoff/model/source packet</x:v>
      </x:c>
      <x:c r="X128" s="10" t="str">
        <x:v>projection_error; rank_error</x:v>
      </x:c>
    </x:row>
    <x:row r="129">
      <x:c r="A129" s="9" t="n">
        <x:v>125</x:v>
      </x:c>
      <x:c r="B129" s="9" t="str">
        <x:v>KBO-20260616-LOT-SSG</x:v>
      </x:c>
      <x:c r="C129" s="25" t="str">
        <x:v>2026-06-16</x:v>
      </x:c>
      <x:c r="D129" s="9" t="str">
        <x:v>Baseball</x:v>
      </x:c>
      <x:c r="E129" s="9" t="str">
        <x:v>Baseball</x:v>
      </x:c>
      <x:c r="F129" s="10" t="str">
        <x:v>Lotte Giants at SSG Landers</x:v>
      </x:c>
      <x:c r="G129" s="10" t="str">
        <x:v>KBO regular season</x:v>
      </x:c>
      <x:c r="H129" s="10" t="str">
        <x:v>Landers +1.5 Giants +0.5 total 9.5</x:v>
      </x:c>
      <x:c r="I129" s="9" t="n">
        <x:v>2</x:v>
      </x:c>
      <x:c r="J129" s="10" t="str">
        <x:v>Giants +0.5</x:v>
      </x:c>
      <x:c r="K129" s="9" t="str">
        <x:v>Giants +0.5</x:v>
      </x:c>
      <x:c r="L129" s="23" t="n">
        <x:v>0.55</x:v>
      </x:c>
      <x:c r="M129" s="9" t="str">
        <x:v>W</x:v>
      </x:c>
      <x:c r="N129" s="9" t="n">
        <x:f>IF(M129="W",1,IF(M129="L",0,""))</x:f>
        <x:v>1</x:v>
      </x:c>
      <x:c r="O129" s="24" t="n">
        <x:f>IF(OR(M129="W",M129="L"),(L129-N129)^2,"")</x:f>
        <x:v>0.20249999999999996</x:v>
      </x:c>
      <x:c r="P129" s="9" t="str">
        <x:v>NO</x:v>
      </x:c>
      <x:c r="Q129" s="9" t="str">
        <x:v>50-59</x:v>
      </x:c>
      <x:c r="R129" s="9" t="str">
        <x:v>NO</x:v>
      </x:c>
      <x:c r="S129" s="10" t="str">
        <x:v>MyKBO final 2026-06-16</x:v>
      </x:c>
      <x:c r="T129" s="10" t="str">
        <x:f>IF(IFERROR(ISNUMBER(SEARCH("http",S129)),FALSE),"YES","NO")</x:f>
        <x:v>NO</x:v>
      </x:c>
      <x:c r="U129" s="10" t="str">
        <x:v>NO</x:v>
      </x:c>
      <x:c r="V129" s="10" t="str">
        <x:v>NO</x:v>
      </x:c>
      <x:c r="W129" s="10" t="str">
        <x:v>LEGACY_UNVERIFIED_SNAPSHOT: no immutable cutoff/model/source packet</x:v>
      </x:c>
      <x:c r="X129" s="10" t="str">
        <x:v>legacy schema only</x:v>
      </x:c>
    </x:row>
    <x:row r="130">
      <x:c r="A130" s="9" t="n">
        <x:v>126</x:v>
      </x:c>
      <x:c r="B130" s="9" t="str">
        <x:v>KBO-20260616-LOT-SSG</x:v>
      </x:c>
      <x:c r="C130" s="25" t="str">
        <x:v>2026-06-16</x:v>
      </x:c>
      <x:c r="D130" s="9" t="str">
        <x:v>Baseball</x:v>
      </x:c>
      <x:c r="E130" s="9" t="str">
        <x:v>Baseball</x:v>
      </x:c>
      <x:c r="F130" s="10" t="str">
        <x:v>Lotte Giants at SSG Landers</x:v>
      </x:c>
      <x:c r="G130" s="10" t="str">
        <x:v>KBO regular season</x:v>
      </x:c>
      <x:c r="H130" s="10" t="str">
        <x:v>Landers +1.5 Giants +0.5 total 9.5</x:v>
      </x:c>
      <x:c r="I130" s="9" t="n">
        <x:v>3</x:v>
      </x:c>
      <x:c r="J130" s="10" t="str">
        <x:v>Total Over 9.5</x:v>
      </x:c>
      <x:c r="K130" s="9" t="str">
        <x:v>Over 9.5</x:v>
      </x:c>
      <x:c r="L130" s="23" t="n">
        <x:v>0.53</x:v>
      </x:c>
      <x:c r="M130" s="9" t="str">
        <x:v>W</x:v>
      </x:c>
      <x:c r="N130" s="9" t="n">
        <x:f>IF(M130="W",1,IF(M130="L",0,""))</x:f>
        <x:v>1</x:v>
      </x:c>
      <x:c r="O130" s="24" t="n">
        <x:f>IF(OR(M130="W",M130="L"),(L130-N130)^2,"")</x:f>
        <x:v>0.22089999999999999</x:v>
      </x:c>
      <x:c r="P130" s="9" t="str">
        <x:v>YES</x:v>
      </x:c>
      <x:c r="Q130" s="9" t="str">
        <x:v>50-59</x:v>
      </x:c>
      <x:c r="R130" s="9" t="str">
        <x:v>NO</x:v>
      </x:c>
      <x:c r="S130" s="10" t="str">
        <x:v>MyKBO final 2026-06-16</x:v>
      </x:c>
      <x:c r="T130" s="10" t="str">
        <x:f>IF(IFERROR(ISNUMBER(SEARCH("http",S130)),FALSE),"YES","NO")</x:f>
        <x:v>NO</x:v>
      </x:c>
      <x:c r="U130" s="10" t="str">
        <x:v>NO</x:v>
      </x:c>
      <x:c r="V130" s="10" t="str">
        <x:v>NO</x:v>
      </x:c>
      <x:c r="W130" s="10" t="str">
        <x:v>LEGACY_UNVERIFIED_SNAPSHOT: no immutable cutoff/model/source packet</x:v>
      </x:c>
      <x:c r="X130" s="10" t="str">
        <x:v>exact_complement_selection</x:v>
      </x:c>
    </x:row>
    <x:row r="131">
      <x:c r="A131" s="9" t="n">
        <x:v>127</x:v>
      </x:c>
      <x:c r="B131" s="9" t="str">
        <x:v>KBO-20260616-LOT-SSG</x:v>
      </x:c>
      <x:c r="C131" s="25" t="str">
        <x:v>2026-06-16</x:v>
      </x:c>
      <x:c r="D131" s="9" t="str">
        <x:v>Baseball</x:v>
      </x:c>
      <x:c r="E131" s="9" t="str">
        <x:v>Baseball</x:v>
      </x:c>
      <x:c r="F131" s="10" t="str">
        <x:v>Lotte Giants at SSG Landers</x:v>
      </x:c>
      <x:c r="G131" s="10" t="str">
        <x:v>KBO regular season</x:v>
      </x:c>
      <x:c r="H131" s="10" t="str">
        <x:v>Landers +1.5 Giants +0.5 total 9.5</x:v>
      </x:c>
      <x:c r="I131" s="9" t="n">
        <x:v>4</x:v>
      </x:c>
      <x:c r="J131" s="10" t="str">
        <x:v>Total Under 9.5</x:v>
      </x:c>
      <x:c r="K131" s="9" t="str">
        <x:v>Under 9.5</x:v>
      </x:c>
      <x:c r="L131" s="23" t="n">
        <x:v>0.47</x:v>
      </x:c>
      <x:c r="M131" s="9" t="str">
        <x:v>L</x:v>
      </x:c>
      <x:c r="N131" s="9" t="n">
        <x:f>IF(M131="W",1,IF(M131="L",0,""))</x:f>
        <x:v>0</x:v>
      </x:c>
      <x:c r="O131" s="24" t="n">
        <x:f>IF(OR(M131="W",M131="L"),(L131-N131)^2,"")</x:f>
        <x:v>0.22089999999999999</x:v>
      </x:c>
      <x:c r="P131" s="9" t="str">
        <x:v>YES</x:v>
      </x:c>
      <x:c r="Q131" s="9" t="str">
        <x:v>40-49</x:v>
      </x:c>
      <x:c r="R131" s="9" t="str">
        <x:v>NO</x:v>
      </x:c>
      <x:c r="S131" s="10" t="str">
        <x:v>MyKBO final 2026-06-16</x:v>
      </x:c>
      <x:c r="T131" s="10" t="str">
        <x:f>IF(IFERROR(ISNUMBER(SEARCH("http",S131)),FALSE),"YES","NO")</x:f>
        <x:v>NO</x:v>
      </x:c>
      <x:c r="U131" s="10" t="str">
        <x:v>NO</x:v>
      </x:c>
      <x:c r="V131" s="10" t="str">
        <x:v>NO</x:v>
      </x:c>
      <x:c r="W131" s="10" t="str">
        <x:v>LEGACY_UNVERIFIED_SNAPSHOT: no immutable cutoff/model/source packet</x:v>
      </x:c>
      <x:c r="X131" s="10" t="str">
        <x:v>exact_complement_selection</x:v>
      </x:c>
    </x:row>
    <x:row r="132">
      <x:c r="A132" s="9" t="n">
        <x:v>128</x:v>
      </x:c>
      <x:c r="B132" s="9" t="str">
        <x:v>CRIC-20260616-NZW-SLW</x:v>
      </x:c>
      <x:c r="C132" s="25" t="str">
        <x:v>2026-06-16</x:v>
      </x:c>
      <x:c r="D132" s="9" t="str">
        <x:v>Cricket</x:v>
      </x:c>
      <x:c r="E132" s="9" t="str">
        <x:v>Cricket</x:v>
      </x:c>
      <x:c r="F132" s="10" t="str">
        <x:v>New Zealand Women vs Sri Lanka Women</x:v>
      </x:c>
      <x:c r="G132" s="10" t="str">
        <x:v>ICC Women's T20 World Cup Group B</x:v>
      </x:c>
      <x:c r="H132" s="10" t="str">
        <x:v>NZ innings 165.5 and first-6 45.5</x:v>
      </x:c>
      <x:c r="I132" s="9" t="n">
        <x:v>1</x:v>
      </x:c>
      <x:c r="J132" s="10" t="str">
        <x:v>NZ first-6 Over 45.5</x:v>
      </x:c>
      <x:c r="K132" s="9" t="str">
        <x:v>Over 45.5</x:v>
      </x:c>
      <x:c r="L132" s="23" t="n">
        <x:v>0.62</x:v>
      </x:c>
      <x:c r="M132" s="9" t="str">
        <x:v>L</x:v>
      </x:c>
      <x:c r="N132" s="9" t="n">
        <x:f>IF(M132="W",1,IF(M132="L",0,""))</x:f>
        <x:v>0</x:v>
      </x:c>
      <x:c r="O132" s="24" t="n">
        <x:f>IF(OR(M132="W",M132="L"),(L132-N132)^2,"")</x:f>
        <x:v>0.3844</x:v>
      </x:c>
      <x:c r="P132" s="9" t="str">
        <x:v>YES</x:v>
      </x:c>
      <x:c r="Q132" s="9" t="str">
        <x:v>60-69</x:v>
      </x:c>
      <x:c r="R132" s="9" t="str">
        <x:v>NO</x:v>
      </x:c>
      <x:c r="S132" s="10" t="str">
        <x:v>Cricbuzz scorecard 2026-06-17</x:v>
      </x:c>
      <x:c r="T132" s="10" t="str">
        <x:f>IF(IFERROR(ISNUMBER(SEARCH("http",S132)),FALSE),"YES","NO")</x:f>
        <x:v>NO</x:v>
      </x:c>
      <x:c r="U132" s="10" t="str">
        <x:v>NO</x:v>
      </x:c>
      <x:c r="V132" s="10" t="str">
        <x:v>NO</x:v>
      </x:c>
      <x:c r="W132" s="10" t="str">
        <x:v>LEGACY_UNVERIFIED_SNAPSHOT: no immutable cutoff/model/source packet</x:v>
      </x:c>
      <x:c r="X132" s="10" t="str">
        <x:v>projection_error; rank_error; exact_complement_selection</x:v>
      </x:c>
    </x:row>
    <x:row r="133">
      <x:c r="A133" s="9" t="n">
        <x:v>129</x:v>
      </x:c>
      <x:c r="B133" s="9" t="str">
        <x:v>CRIC-20260616-NZW-SLW</x:v>
      </x:c>
      <x:c r="C133" s="25" t="str">
        <x:v>2026-06-16</x:v>
      </x:c>
      <x:c r="D133" s="9" t="str">
        <x:v>Cricket</x:v>
      </x:c>
      <x:c r="E133" s="9" t="str">
        <x:v>Cricket</x:v>
      </x:c>
      <x:c r="F133" s="10" t="str">
        <x:v>New Zealand Women vs Sri Lanka Women</x:v>
      </x:c>
      <x:c r="G133" s="10" t="str">
        <x:v>ICC Women's T20 World Cup Group B</x:v>
      </x:c>
      <x:c r="H133" s="10" t="str">
        <x:v>NZ innings 165.5 and first-6 45.5</x:v>
      </x:c>
      <x:c r="I133" s="9" t="n">
        <x:v>2</x:v>
      </x:c>
      <x:c r="J133" s="10" t="str">
        <x:v>NZ innings Over 165.5</x:v>
      </x:c>
      <x:c r="K133" s="9" t="str">
        <x:v>Over 165.5</x:v>
      </x:c>
      <x:c r="L133" s="23" t="n">
        <x:v>0.56</x:v>
      </x:c>
      <x:c r="M133" s="9" t="str">
        <x:v>L</x:v>
      </x:c>
      <x:c r="N133" s="9" t="n">
        <x:f>IF(M133="W",1,IF(M133="L",0,""))</x:f>
        <x:v>0</x:v>
      </x:c>
      <x:c r="O133" s="24" t="n">
        <x:f>IF(OR(M133="W",M133="L"),(L133-N133)^2,"")</x:f>
        <x:v>0.31360000000000005</x:v>
      </x:c>
      <x:c r="P133" s="9" t="str">
        <x:v>YES</x:v>
      </x:c>
      <x:c r="Q133" s="9" t="str">
        <x:v>50-59</x:v>
      </x:c>
      <x:c r="R133" s="9" t="str">
        <x:v>NO</x:v>
      </x:c>
      <x:c r="S133" s="10" t="str">
        <x:v>Cricbuzz scorecard 2026-06-17</x:v>
      </x:c>
      <x:c r="T133" s="10" t="str">
        <x:f>IF(IFERROR(ISNUMBER(SEARCH("http",S133)),FALSE),"YES","NO")</x:f>
        <x:v>NO</x:v>
      </x:c>
      <x:c r="U133" s="10" t="str">
        <x:v>NO</x:v>
      </x:c>
      <x:c r="V133" s="10" t="str">
        <x:v>NO</x:v>
      </x:c>
      <x:c r="W133" s="10" t="str">
        <x:v>LEGACY_UNVERIFIED_SNAPSHOT: no immutable cutoff/model/source packet</x:v>
      </x:c>
      <x:c r="X133" s="10" t="str">
        <x:v>projection_error; rank_error; exact_complement_selection</x:v>
      </x:c>
    </x:row>
    <x:row r="134">
      <x:c r="A134" s="9" t="n">
        <x:v>130</x:v>
      </x:c>
      <x:c r="B134" s="9" t="str">
        <x:v>CRIC-20260616-NZW-SLW</x:v>
      </x:c>
      <x:c r="C134" s="25" t="str">
        <x:v>2026-06-16</x:v>
      </x:c>
      <x:c r="D134" s="9" t="str">
        <x:v>Cricket</x:v>
      </x:c>
      <x:c r="E134" s="9" t="str">
        <x:v>Cricket</x:v>
      </x:c>
      <x:c r="F134" s="10" t="str">
        <x:v>New Zealand Women vs Sri Lanka Women</x:v>
      </x:c>
      <x:c r="G134" s="10" t="str">
        <x:v>ICC Women's T20 World Cup Group B</x:v>
      </x:c>
      <x:c r="H134" s="10" t="str">
        <x:v>NZ innings 165.5 and first-6 45.5</x:v>
      </x:c>
      <x:c r="I134" s="9" t="n">
        <x:v>3</x:v>
      </x:c>
      <x:c r="J134" s="10" t="str">
        <x:v>NZ innings Under 165.5</x:v>
      </x:c>
      <x:c r="K134" s="9" t="str">
        <x:v>Under 165.5</x:v>
      </x:c>
      <x:c r="L134" s="23" t="n">
        <x:v>0.44</x:v>
      </x:c>
      <x:c r="M134" s="9" t="str">
        <x:v>W</x:v>
      </x:c>
      <x:c r="N134" s="9" t="n">
        <x:f>IF(M134="W",1,IF(M134="L",0,""))</x:f>
        <x:v>1</x:v>
      </x:c>
      <x:c r="O134" s="24" t="n">
        <x:f>IF(OR(M134="W",M134="L"),(L134-N134)^2,"")</x:f>
        <x:v>0.31360000000000005</x:v>
      </x:c>
      <x:c r="P134" s="9" t="str">
        <x:v>YES</x:v>
      </x:c>
      <x:c r="Q134" s="9" t="str">
        <x:v>40-49</x:v>
      </x:c>
      <x:c r="R134" s="9" t="str">
        <x:v>NO</x:v>
      </x:c>
      <x:c r="S134" s="10" t="str">
        <x:v>Cricbuzz scorecard 2026-06-17</x:v>
      </x:c>
      <x:c r="T134" s="10" t="str">
        <x:f>IF(IFERROR(ISNUMBER(SEARCH("http",S134)),FALSE),"YES","NO")</x:f>
        <x:v>NO</x:v>
      </x:c>
      <x:c r="U134" s="10" t="str">
        <x:v>NO</x:v>
      </x:c>
      <x:c r="V134" s="10" t="str">
        <x:v>NO</x:v>
      </x:c>
      <x:c r="W134" s="10" t="str">
        <x:v>LEGACY_UNVERIFIED_SNAPSHOT: no immutable cutoff/model/source packet</x:v>
      </x:c>
      <x:c r="X134" s="10" t="str">
        <x:v>exact_complement_selection</x:v>
      </x:c>
    </x:row>
    <x:row r="135">
      <x:c r="A135" s="9" t="n">
        <x:v>131</x:v>
      </x:c>
      <x:c r="B135" s="9" t="str">
        <x:v>CRIC-20260616-NZW-SLW</x:v>
      </x:c>
      <x:c r="C135" s="25" t="str">
        <x:v>2026-06-16</x:v>
      </x:c>
      <x:c r="D135" s="9" t="str">
        <x:v>Cricket</x:v>
      </x:c>
      <x:c r="E135" s="9" t="str">
        <x:v>Cricket</x:v>
      </x:c>
      <x:c r="F135" s="10" t="str">
        <x:v>New Zealand Women vs Sri Lanka Women</x:v>
      </x:c>
      <x:c r="G135" s="10" t="str">
        <x:v>ICC Women's T20 World Cup Group B</x:v>
      </x:c>
      <x:c r="H135" s="10" t="str">
        <x:v>NZ innings 165.5 and first-6 45.5</x:v>
      </x:c>
      <x:c r="I135" s="9" t="n">
        <x:v>4</x:v>
      </x:c>
      <x:c r="J135" s="10" t="str">
        <x:v>NZ first-6 Under 45.5</x:v>
      </x:c>
      <x:c r="K135" s="9" t="str">
        <x:v>Under 45.5</x:v>
      </x:c>
      <x:c r="L135" s="23" t="n">
        <x:v>0.38</x:v>
      </x:c>
      <x:c r="M135" s="9" t="str">
        <x:v>W</x:v>
      </x:c>
      <x:c r="N135" s="9" t="n">
        <x:f>IF(M135="W",1,IF(M135="L",0,""))</x:f>
        <x:v>1</x:v>
      </x:c>
      <x:c r="O135" s="24" t="n">
        <x:f>IF(OR(M135="W",M135="L"),(L135-N135)^2,"")</x:f>
        <x:v>0.3844</x:v>
      </x:c>
      <x:c r="P135" s="9" t="str">
        <x:v>YES</x:v>
      </x:c>
      <x:c r="Q135" s="9" t="str">
        <x:v>30-39</x:v>
      </x:c>
      <x:c r="R135" s="9" t="str">
        <x:v>NO</x:v>
      </x:c>
      <x:c r="S135" s="10" t="str">
        <x:v>Cricbuzz scorecard 2026-06-17</x:v>
      </x:c>
      <x:c r="T135" s="10" t="str">
        <x:f>IF(IFERROR(ISNUMBER(SEARCH("http",S135)),FALSE),"YES","NO")</x:f>
        <x:v>NO</x:v>
      </x:c>
      <x:c r="U135" s="10" t="str">
        <x:v>NO</x:v>
      </x:c>
      <x:c r="V135" s="10" t="str">
        <x:v>NO</x:v>
      </x:c>
      <x:c r="W135" s="10" t="str">
        <x:v>LEGACY_UNVERIFIED_SNAPSHOT: no immutable cutoff/model/source packet</x:v>
      </x:c>
      <x:c r="X135" s="10" t="str">
        <x:v>projection_error; rank_error; exact_complement_selection</x:v>
      </x:c>
    </x:row>
    <x:row r="136">
      <x:c r="A136" s="9" t="n">
        <x:v>132</x:v>
      </x:c>
      <x:c r="B136" s="9" t="str">
        <x:v>SOC-20260617-FRA-SEN</x:v>
      </x:c>
      <x:c r="C136" s="25" t="str">
        <x:v>2026-06-17</x:v>
      </x:c>
      <x:c r="D136" s="9" t="str">
        <x:v>Soccer</x:v>
      </x:c>
      <x:c r="E136" s="9" t="str">
        <x:v>Soccer</x:v>
      </x:c>
      <x:c r="F136" s="10" t="str">
        <x:v>France vs Senegal</x:v>
      </x:c>
      <x:c r="G136" s="10" t="str">
        <x:v>FIFA World Cup Group I</x:v>
      </x:c>
      <x:c r="H136" s="10" t="str">
        <x:v>Self-selected best four: full total 4.5, team totals, double chance</x:v>
      </x:c>
      <x:c r="I136" s="9" t="n">
        <x:v>1</x:v>
      </x:c>
      <x:c r="J136" s="10" t="str">
        <x:v>Combined Total Under 4.5 Goals</x:v>
      </x:c>
      <x:c r="K136" s="9" t="str">
        <x:v>Under 4.5</x:v>
      </x:c>
      <x:c r="L136" s="23" t="n">
        <x:v>0.84</x:v>
      </x:c>
      <x:c r="M136" s="9" t="str">
        <x:v>W</x:v>
      </x:c>
      <x:c r="N136" s="9" t="n">
        <x:f>IF(M136="W",1,IF(M136="L",0,""))</x:f>
        <x:v>1</x:v>
      </x:c>
      <x:c r="O136" s="24" t="n">
        <x:f>IF(OR(M136="W",M136="L"),(L136-N136)^2,"")</x:f>
        <x:v>0.02560000000000001</x:v>
      </x:c>
      <x:c r="P136" s="9" t="str">
        <x:v>NO</x:v>
      </x:c>
      <x:c r="Q136" s="9" t="str">
        <x:v>80-89</x:v>
      </x:c>
      <x:c r="R136" s="9" t="str">
        <x:v>NO</x:v>
      </x:c>
      <x:c r="S136" s="10" t="str">
        <x:v>Guardian final 2026-06-17</x:v>
      </x:c>
      <x:c r="T136" s="10" t="str">
        <x:f>IF(IFERROR(ISNUMBER(SEARCH("http",S136)),FALSE),"YES","NO")</x:f>
        <x:v>NO</x:v>
      </x:c>
      <x:c r="U136" s="10" t="str">
        <x:v>NO</x:v>
      </x:c>
      <x:c r="V136" s="10" t="str">
        <x:v>NO</x:v>
      </x:c>
      <x:c r="W136" s="10" t="str">
        <x:v>LEGACY_UNVERIFIED_SNAPSHOT: no immutable cutoff/model/source packet</x:v>
      </x:c>
      <x:c r="X136" s="10" t="str">
        <x:v>legacy schema only</x:v>
      </x:c>
    </x:row>
    <x:row r="137">
      <x:c r="A137" s="9" t="n">
        <x:v>133</x:v>
      </x:c>
      <x:c r="B137" s="9" t="str">
        <x:v>SOC-20260617-FRA-SEN</x:v>
      </x:c>
      <x:c r="C137" s="25" t="str">
        <x:v>2026-06-17</x:v>
      </x:c>
      <x:c r="D137" s="9" t="str">
        <x:v>Soccer</x:v>
      </x:c>
      <x:c r="E137" s="9" t="str">
        <x:v>Soccer</x:v>
      </x:c>
      <x:c r="F137" s="10" t="str">
        <x:v>France vs Senegal</x:v>
      </x:c>
      <x:c r="G137" s="10" t="str">
        <x:v>FIFA World Cup Group I</x:v>
      </x:c>
      <x:c r="H137" s="10" t="str">
        <x:v>Self-selected best four: full total 4.5, team totals, double chance</x:v>
      </x:c>
      <x:c r="I137" s="9" t="n">
        <x:v>2</x:v>
      </x:c>
      <x:c r="J137" s="10" t="str">
        <x:v>Senegal Team Total Under 2.5 Goals</x:v>
      </x:c>
      <x:c r="K137" s="9" t="str">
        <x:v>Under 2.5</x:v>
      </x:c>
      <x:c r="L137" s="23" t="n">
        <x:v>0.82</x:v>
      </x:c>
      <x:c r="M137" s="9" t="str">
        <x:v>W</x:v>
      </x:c>
      <x:c r="N137" s="9" t="n">
        <x:f>IF(M137="W",1,IF(M137="L",0,""))</x:f>
        <x:v>1</x:v>
      </x:c>
      <x:c r="O137" s="24" t="n">
        <x:f>IF(OR(M137="W",M137="L"),(L137-N137)^2,"")</x:f>
        <x:v>0.03240000000000002</x:v>
      </x:c>
      <x:c r="P137" s="9" t="str">
        <x:v>NO</x:v>
      </x:c>
      <x:c r="Q137" s="9" t="str">
        <x:v>80-89</x:v>
      </x:c>
      <x:c r="R137" s="9" t="str">
        <x:v>NO</x:v>
      </x:c>
      <x:c r="S137" s="10" t="str">
        <x:v>Guardian final 2026-06-17</x:v>
      </x:c>
      <x:c r="T137" s="10" t="str">
        <x:f>IF(IFERROR(ISNUMBER(SEARCH("http",S137)),FALSE),"YES","NO")</x:f>
        <x:v>NO</x:v>
      </x:c>
      <x:c r="U137" s="10" t="str">
        <x:v>NO</x:v>
      </x:c>
      <x:c r="V137" s="10" t="str">
        <x:v>NO</x:v>
      </x:c>
      <x:c r="W137" s="10" t="str">
        <x:v>LEGACY_UNVERIFIED_SNAPSHOT: no immutable cutoff/model/source packet</x:v>
      </x:c>
      <x:c r="X137" s="10" t="str">
        <x:v>legacy schema only</x:v>
      </x:c>
    </x:row>
    <x:row r="138">
      <x:c r="A138" s="9" t="n">
        <x:v>134</x:v>
      </x:c>
      <x:c r="B138" s="9" t="str">
        <x:v>SOC-20260617-FRA-SEN</x:v>
      </x:c>
      <x:c r="C138" s="25" t="str">
        <x:v>2026-06-17</x:v>
      </x:c>
      <x:c r="D138" s="9" t="str">
        <x:v>Soccer</x:v>
      </x:c>
      <x:c r="E138" s="9" t="str">
        <x:v>Soccer</x:v>
      </x:c>
      <x:c r="F138" s="10" t="str">
        <x:v>France vs Senegal</x:v>
      </x:c>
      <x:c r="G138" s="10" t="str">
        <x:v>FIFA World Cup Group I</x:v>
      </x:c>
      <x:c r="H138" s="10" t="str">
        <x:v>Self-selected best four: full total 4.5, team totals, double chance</x:v>
      </x:c>
      <x:c r="I138" s="9" t="n">
        <x:v>3</x:v>
      </x:c>
      <x:c r="J138" s="10" t="str">
        <x:v>France Team Total Over 0.5 Goals</x:v>
      </x:c>
      <x:c r="K138" s="9" t="str">
        <x:v>Over 0.5</x:v>
      </x:c>
      <x:c r="L138" s="23" t="n">
        <x:v>0.78</x:v>
      </x:c>
      <x:c r="M138" s="9" t="str">
        <x:v>W</x:v>
      </x:c>
      <x:c r="N138" s="9" t="n">
        <x:f>IF(M138="W",1,IF(M138="L",0,""))</x:f>
        <x:v>1</x:v>
      </x:c>
      <x:c r="O138" s="24" t="n">
        <x:f>IF(OR(M138="W",M138="L"),(L138-N138)^2,"")</x:f>
        <x:v>0.04839999999999999</x:v>
      </x:c>
      <x:c r="P138" s="9" t="str">
        <x:v>NO</x:v>
      </x:c>
      <x:c r="Q138" s="9" t="str">
        <x:v>70-79</x:v>
      </x:c>
      <x:c r="R138" s="9" t="str">
        <x:v>NO</x:v>
      </x:c>
      <x:c r="S138" s="10" t="str">
        <x:v>Guardian final 2026-06-17</x:v>
      </x:c>
      <x:c r="T138" s="10" t="str">
        <x:f>IF(IFERROR(ISNUMBER(SEARCH("http",S138)),FALSE),"YES","NO")</x:f>
        <x:v>NO</x:v>
      </x:c>
      <x:c r="U138" s="10" t="str">
        <x:v>NO</x:v>
      </x:c>
      <x:c r="V138" s="10" t="str">
        <x:v>NO</x:v>
      </x:c>
      <x:c r="W138" s="10" t="str">
        <x:v>LEGACY_UNVERIFIED_SNAPSHOT: no immutable cutoff/model/source packet</x:v>
      </x:c>
      <x:c r="X138" s="10" t="str">
        <x:v>legacy schema only</x:v>
      </x:c>
    </x:row>
    <x:row r="139">
      <x:c r="A139" s="9" t="n">
        <x:v>135</x:v>
      </x:c>
      <x:c r="B139" s="9" t="str">
        <x:v>SOC-20260617-FRA-SEN</x:v>
      </x:c>
      <x:c r="C139" s="25" t="str">
        <x:v>2026-06-17</x:v>
      </x:c>
      <x:c r="D139" s="9" t="str">
        <x:v>Soccer</x:v>
      </x:c>
      <x:c r="E139" s="9" t="str">
        <x:v>Soccer</x:v>
      </x:c>
      <x:c r="F139" s="10" t="str">
        <x:v>France vs Senegal</x:v>
      </x:c>
      <x:c r="G139" s="10" t="str">
        <x:v>FIFA World Cup Group I</x:v>
      </x:c>
      <x:c r="H139" s="10" t="str">
        <x:v>Self-selected best four: full total 4.5, team totals, double chance</x:v>
      </x:c>
      <x:c r="I139" s="9" t="n">
        <x:v>4</x:v>
      </x:c>
      <x:c r="J139" s="10" t="str">
        <x:v>France or Draw / Double Chance</x:v>
      </x:c>
      <x:c r="K139" s="9" t="str">
        <x:v>France/DC</x:v>
      </x:c>
      <x:c r="L139" s="23" t="n">
        <x:v>0.74</x:v>
      </x:c>
      <x:c r="M139" s="9" t="str">
        <x:v>W</x:v>
      </x:c>
      <x:c r="N139" s="9" t="n">
        <x:f>IF(M139="W",1,IF(M139="L",0,""))</x:f>
        <x:v>1</x:v>
      </x:c>
      <x:c r="O139" s="24" t="n">
        <x:f>IF(OR(M139="W",M139="L"),(L139-N139)^2,"")</x:f>
        <x:v>0.06760000000000001</x:v>
      </x:c>
      <x:c r="P139" s="9" t="str">
        <x:v>NO</x:v>
      </x:c>
      <x:c r="Q139" s="9" t="str">
        <x:v>70-79</x:v>
      </x:c>
      <x:c r="R139" s="9" t="str">
        <x:v>NO</x:v>
      </x:c>
      <x:c r="S139" s="10" t="str">
        <x:v>Guardian final 2026-06-17</x:v>
      </x:c>
      <x:c r="T139" s="10" t="str">
        <x:f>IF(IFERROR(ISNUMBER(SEARCH("http",S139)),FALSE),"YES","NO")</x:f>
        <x:v>NO</x:v>
      </x:c>
      <x:c r="U139" s="10" t="str">
        <x:v>NO</x:v>
      </x:c>
      <x:c r="V139" s="10" t="str">
        <x:v>NO</x:v>
      </x:c>
      <x:c r="W139" s="10" t="str">
        <x:v>LEGACY_UNVERIFIED_SNAPSHOT: no immutable cutoff/model/source packet</x:v>
      </x:c>
      <x:c r="X139" s="10" t="str">
        <x:v>legacy schema only</x:v>
      </x:c>
    </x:row>
    <x:row r="140">
      <x:c r="A140" s="9" t="n">
        <x:v>136</x:v>
      </x:c>
      <x:c r="B140" s="9" t="str">
        <x:v>SOC-20260617-AUT-JOR</x:v>
      </x:c>
      <x:c r="C140" s="25" t="str">
        <x:v>2026-06-17</x:v>
      </x:c>
      <x:c r="D140" s="9" t="str">
        <x:v>Soccer</x:v>
      </x:c>
      <x:c r="E140" s="9" t="str">
        <x:v>Soccer</x:v>
      </x:c>
      <x:c r="F140" s="10" t="str">
        <x:v>Austria vs Jordan</x:v>
      </x:c>
      <x:c r="G140" s="10" t="str">
        <x:v>FIFA World Cup Group J</x:v>
      </x:c>
      <x:c r="H140" s="10" t="str">
        <x:v>Self-selected best four: team totals, double chance, full total 4.5</x:v>
      </x:c>
      <x:c r="I140" s="9" t="n">
        <x:v>1</x:v>
      </x:c>
      <x:c r="J140" s="10" t="str">
        <x:v>Jordan Team Total Under 2.5 Goals</x:v>
      </x:c>
      <x:c r="K140" s="9" t="str">
        <x:v>Jordan Under 2.5</x:v>
      </x:c>
      <x:c r="L140" s="23" t="n">
        <x:v>0.84</x:v>
      </x:c>
      <x:c r="M140" s="9" t="str">
        <x:v>W</x:v>
      </x:c>
      <x:c r="N140" s="9" t="n">
        <x:f>IF(M140="W",1,IF(M140="L",0,""))</x:f>
        <x:v>1</x:v>
      </x:c>
      <x:c r="O140" s="24" t="n">
        <x:f>IF(OR(M140="W",M140="L"),(L140-N140)^2,"")</x:f>
        <x:v>0.02560000000000001</x:v>
      </x:c>
      <x:c r="P140" s="9" t="str">
        <x:v>NO</x:v>
      </x:c>
      <x:c r="Q140" s="9" t="str">
        <x:v>80-89</x:v>
      </x:c>
      <x:c r="R140" s="9" t="str">
        <x:v>NO</x:v>
      </x:c>
      <x:c r="S140" s="10" t="str">
        <x:v>ABC/Fox/Guardian final 2026-06-17</x:v>
      </x:c>
      <x:c r="T140" s="10" t="str">
        <x:f>IF(IFERROR(ISNUMBER(SEARCH("http",S140)),FALSE),"YES","NO")</x:f>
        <x:v>NO</x:v>
      </x:c>
      <x:c r="U140" s="10" t="str">
        <x:v>NO</x:v>
      </x:c>
      <x:c r="V140" s="10" t="str">
        <x:v>NO</x:v>
      </x:c>
      <x:c r="W140" s="10" t="str">
        <x:v>LEGACY_UNVERIFIED_SNAPSHOT: no immutable cutoff/model/source packet</x:v>
      </x:c>
      <x:c r="X140" s="10" t="str">
        <x:v>legacy schema only</x:v>
      </x:c>
    </x:row>
    <x:row r="141">
      <x:c r="A141" s="9" t="n">
        <x:v>137</x:v>
      </x:c>
      <x:c r="B141" s="9" t="str">
        <x:v>SOC-20260617-AUT-JOR</x:v>
      </x:c>
      <x:c r="C141" s="25" t="str">
        <x:v>2026-06-17</x:v>
      </x:c>
      <x:c r="D141" s="9" t="str">
        <x:v>Soccer</x:v>
      </x:c>
      <x:c r="E141" s="9" t="str">
        <x:v>Soccer</x:v>
      </x:c>
      <x:c r="F141" s="10" t="str">
        <x:v>Austria vs Jordan</x:v>
      </x:c>
      <x:c r="G141" s="10" t="str">
        <x:v>FIFA World Cup Group J</x:v>
      </x:c>
      <x:c r="H141" s="10" t="str">
        <x:v>Self-selected best four: team totals, double chance, full total 4.5</x:v>
      </x:c>
      <x:c r="I141" s="9" t="n">
        <x:v>2</x:v>
      </x:c>
      <x:c r="J141" s="10" t="str">
        <x:v>Austria or Draw / Double Chance</x:v>
      </x:c>
      <x:c r="K141" s="9" t="str">
        <x:v>Austria/DC</x:v>
      </x:c>
      <x:c r="L141" s="23" t="n">
        <x:v>0.82</x:v>
      </x:c>
      <x:c r="M141" s="9" t="str">
        <x:v>W</x:v>
      </x:c>
      <x:c r="N141" s="9" t="n">
        <x:f>IF(M141="W",1,IF(M141="L",0,""))</x:f>
        <x:v>1</x:v>
      </x:c>
      <x:c r="O141" s="24" t="n">
        <x:f>IF(OR(M141="W",M141="L"),(L141-N141)^2,"")</x:f>
        <x:v>0.03240000000000002</x:v>
      </x:c>
      <x:c r="P141" s="9" t="str">
        <x:v>NO</x:v>
      </x:c>
      <x:c r="Q141" s="9" t="str">
        <x:v>80-89</x:v>
      </x:c>
      <x:c r="R141" s="9" t="str">
        <x:v>NO</x:v>
      </x:c>
      <x:c r="S141" s="10" t="str">
        <x:v>ABC/Fox/Guardian final 2026-06-17</x:v>
      </x:c>
      <x:c r="T141" s="10" t="str">
        <x:f>IF(IFERROR(ISNUMBER(SEARCH("http",S141)),FALSE),"YES","NO")</x:f>
        <x:v>NO</x:v>
      </x:c>
      <x:c r="U141" s="10" t="str">
        <x:v>NO</x:v>
      </x:c>
      <x:c r="V141" s="10" t="str">
        <x:v>NO</x:v>
      </x:c>
      <x:c r="W141" s="10" t="str">
        <x:v>LEGACY_UNVERIFIED_SNAPSHOT: no immutable cutoff/model/source packet</x:v>
      </x:c>
      <x:c r="X141" s="10" t="str">
        <x:v>legacy schema only</x:v>
      </x:c>
    </x:row>
    <x:row r="142">
      <x:c r="A142" s="9" t="n">
        <x:v>138</x:v>
      </x:c>
      <x:c r="B142" s="9" t="str">
        <x:v>SOC-20260617-AUT-JOR</x:v>
      </x:c>
      <x:c r="C142" s="25" t="str">
        <x:v>2026-06-17</x:v>
      </x:c>
      <x:c r="D142" s="9" t="str">
        <x:v>Soccer</x:v>
      </x:c>
      <x:c r="E142" s="9" t="str">
        <x:v>Soccer</x:v>
      </x:c>
      <x:c r="F142" s="10" t="str">
        <x:v>Austria vs Jordan</x:v>
      </x:c>
      <x:c r="G142" s="10" t="str">
        <x:v>FIFA World Cup Group J</x:v>
      </x:c>
      <x:c r="H142" s="10" t="str">
        <x:v>Self-selected best four: team totals, double chance, full total 4.5</x:v>
      </x:c>
      <x:c r="I142" s="9" t="n">
        <x:v>3</x:v>
      </x:c>
      <x:c r="J142" s="10" t="str">
        <x:v>Austria Team Total Over 0.5 Goals</x:v>
      </x:c>
      <x:c r="K142" s="9" t="str">
        <x:v>Austria Over 0.5</x:v>
      </x:c>
      <x:c r="L142" s="23" t="n">
        <x:v>0.8</x:v>
      </x:c>
      <x:c r="M142" s="9" t="str">
        <x:v>W</x:v>
      </x:c>
      <x:c r="N142" s="9" t="n">
        <x:f>IF(M142="W",1,IF(M142="L",0,""))</x:f>
        <x:v>1</x:v>
      </x:c>
      <x:c r="O142" s="24" t="n">
        <x:f>IF(OR(M142="W",M142="L"),(L142-N142)^2,"")</x:f>
        <x:v>0.03999999999999998</x:v>
      </x:c>
      <x:c r="P142" s="9" t="str">
        <x:v>NO</x:v>
      </x:c>
      <x:c r="Q142" s="9" t="str">
        <x:v>80-89</x:v>
      </x:c>
      <x:c r="R142" s="9" t="str">
        <x:v>NO</x:v>
      </x:c>
      <x:c r="S142" s="10" t="str">
        <x:v>ABC/Fox/Guardian final 2026-06-17</x:v>
      </x:c>
      <x:c r="T142" s="10" t="str">
        <x:f>IF(IFERROR(ISNUMBER(SEARCH("http",S142)),FALSE),"YES","NO")</x:f>
        <x:v>NO</x:v>
      </x:c>
      <x:c r="U142" s="10" t="str">
        <x:v>NO</x:v>
      </x:c>
      <x:c r="V142" s="10" t="str">
        <x:v>NO</x:v>
      </x:c>
      <x:c r="W142" s="10" t="str">
        <x:v>LEGACY_UNVERIFIED_SNAPSHOT: no immutable cutoff/model/source packet</x:v>
      </x:c>
      <x:c r="X142" s="10" t="str">
        <x:v>legacy schema only</x:v>
      </x:c>
    </x:row>
    <x:row r="143">
      <x:c r="A143" s="9" t="n">
        <x:v>139</x:v>
      </x:c>
      <x:c r="B143" s="9" t="str">
        <x:v>SOC-20260617-AUT-JOR</x:v>
      </x:c>
      <x:c r="C143" s="25" t="str">
        <x:v>2026-06-17</x:v>
      </x:c>
      <x:c r="D143" s="9" t="str">
        <x:v>Soccer</x:v>
      </x:c>
      <x:c r="E143" s="9" t="str">
        <x:v>Soccer</x:v>
      </x:c>
      <x:c r="F143" s="10" t="str">
        <x:v>Austria vs Jordan</x:v>
      </x:c>
      <x:c r="G143" s="10" t="str">
        <x:v>FIFA World Cup Group J</x:v>
      </x:c>
      <x:c r="H143" s="10" t="str">
        <x:v>Self-selected best four: team totals, double chance, full total 4.5</x:v>
      </x:c>
      <x:c r="I143" s="9" t="n">
        <x:v>4</x:v>
      </x:c>
      <x:c r="J143" s="10" t="str">
        <x:v>Combined Total Under 4.5 Goals</x:v>
      </x:c>
      <x:c r="K143" s="9" t="str">
        <x:v>Under 4.5</x:v>
      </x:c>
      <x:c r="L143" s="23" t="n">
        <x:v>0.76</x:v>
      </x:c>
      <x:c r="M143" s="9" t="str">
        <x:v>W</x:v>
      </x:c>
      <x:c r="N143" s="9" t="n">
        <x:f>IF(M143="W",1,IF(M143="L",0,""))</x:f>
        <x:v>1</x:v>
      </x:c>
      <x:c r="O143" s="24" t="n">
        <x:f>IF(OR(M143="W",M143="L"),(L143-N143)^2,"")</x:f>
        <x:v>0.0576</x:v>
      </x:c>
      <x:c r="P143" s="9" t="str">
        <x:v>NO</x:v>
      </x:c>
      <x:c r="Q143" s="9" t="str">
        <x:v>70-79</x:v>
      </x:c>
      <x:c r="R143" s="9" t="str">
        <x:v>NO</x:v>
      </x:c>
      <x:c r="S143" s="10" t="str">
        <x:v>ABC/Fox/Guardian final 2026-06-17</x:v>
      </x:c>
      <x:c r="T143" s="10" t="str">
        <x:f>IF(IFERROR(ISNUMBER(SEARCH("http",S143)),FALSE),"YES","NO")</x:f>
        <x:v>NO</x:v>
      </x:c>
      <x:c r="U143" s="10" t="str">
        <x:v>NO</x:v>
      </x:c>
      <x:c r="V143" s="10" t="str">
        <x:v>NO</x:v>
      </x:c>
      <x:c r="W143" s="10" t="str">
        <x:v>LEGACY_UNVERIFIED_SNAPSHOT: no immutable cutoff/model/source packet</x:v>
      </x:c>
      <x:c r="X143" s="10" t="str">
        <x:v>legacy schema only</x:v>
      </x:c>
    </x:row>
    <x:row r="144">
      <x:c r="A144" s="9" t="n">
        <x:v>140</x:v>
      </x:c>
      <x:c r="B144" s="9" t="str">
        <x:v>CRIC-20260617-BAN-AUS</x:v>
      </x:c>
      <x:c r="C144" s="25" t="str">
        <x:v>2026-06-17</x:v>
      </x:c>
      <x:c r="D144" s="9" t="str">
        <x:v>Cricket</x:v>
      </x:c>
      <x:c r="E144" s="9" t="str">
        <x:v>Cricket</x:v>
      </x:c>
      <x:c r="F144" s="10" t="str">
        <x:v>Bangladesh vs Australia</x:v>
      </x:c>
      <x:c r="G144" s="10" t="str">
        <x:v>Australia tour of Bangladesh 1st T20I</x:v>
      </x:c>
      <x:c r="H144" s="10" t="str">
        <x:v>Bangladesh 1st innings 166.5 and first-6 50.5</x:v>
      </x:c>
      <x:c r="I144" s="9" t="n">
        <x:v>1</x:v>
      </x:c>
      <x:c r="J144" s="10" t="str">
        <x:v>Bangladesh 1st Innings 20 overs Under 166.5 Runs</x:v>
      </x:c>
      <x:c r="K144" s="9" t="str">
        <x:v>Under 166.5</x:v>
      </x:c>
      <x:c r="L144" s="23" t="n">
        <x:v>0.57</x:v>
      </x:c>
      <x:c r="M144" s="9" t="str">
        <x:v>W</x:v>
      </x:c>
      <x:c r="N144" s="9" t="n">
        <x:f>IF(M144="W",1,IF(M144="L",0,""))</x:f>
        <x:v>1</x:v>
      </x:c>
      <x:c r="O144" s="24" t="n">
        <x:f>IF(OR(M144="W",M144="L"),(L144-N144)^2,"")</x:f>
        <x:v>0.18490000000000004</x:v>
      </x:c>
      <x:c r="P144" s="9" t="str">
        <x:v>YES</x:v>
      </x:c>
      <x:c r="Q144" s="9" t="str">
        <x:v>50-59</x:v>
      </x:c>
      <x:c r="R144" s="9" t="str">
        <x:v>NO</x:v>
      </x:c>
      <x:c r="S144" s="10" t="str">
        <x:v>Cricbuzz scorecard 2026-06-17</x:v>
      </x:c>
      <x:c r="T144" s="10" t="str">
        <x:f>IF(IFERROR(ISNUMBER(SEARCH("http",S144)),FALSE),"YES","NO")</x:f>
        <x:v>NO</x:v>
      </x:c>
      <x:c r="U144" s="10" t="str">
        <x:v>NO</x:v>
      </x:c>
      <x:c r="V144" s="10" t="str">
        <x:v>NO</x:v>
      </x:c>
      <x:c r="W144" s="10" t="str">
        <x:v>LEGACY_UNVERIFIED_SNAPSHOT: no immutable cutoff/model/source packet</x:v>
      </x:c>
      <x:c r="X144" s="10" t="str">
        <x:v>exact_complement_selection</x:v>
      </x:c>
    </x:row>
    <x:row r="145">
      <x:c r="A145" s="9" t="n">
        <x:v>141</x:v>
      </x:c>
      <x:c r="B145" s="9" t="str">
        <x:v>CRIC-20260617-BAN-AUS</x:v>
      </x:c>
      <x:c r="C145" s="25" t="str">
        <x:v>2026-06-17</x:v>
      </x:c>
      <x:c r="D145" s="9" t="str">
        <x:v>Cricket</x:v>
      </x:c>
      <x:c r="E145" s="9" t="str">
        <x:v>Cricket</x:v>
      </x:c>
      <x:c r="F145" s="10" t="str">
        <x:v>Bangladesh vs Australia</x:v>
      </x:c>
      <x:c r="G145" s="10" t="str">
        <x:v>Australia tour of Bangladesh 1st T20I</x:v>
      </x:c>
      <x:c r="H145" s="10" t="str">
        <x:v>Bangladesh 1st innings 166.5 and first-6 50.5</x:v>
      </x:c>
      <x:c r="I145" s="9" t="n">
        <x:v>2</x:v>
      </x:c>
      <x:c r="J145" s="10" t="str">
        <x:v>Bangladesh first 6 overs Under 50.5 Runs</x:v>
      </x:c>
      <x:c r="K145" s="9" t="str">
        <x:v>Under 50.5</x:v>
      </x:c>
      <x:c r="L145" s="23" t="n">
        <x:v>0.54</x:v>
      </x:c>
      <x:c r="M145" s="9" t="str">
        <x:v>L</x:v>
      </x:c>
      <x:c r="N145" s="9" t="n">
        <x:f>IF(M145="W",1,IF(M145="L",0,""))</x:f>
        <x:v>0</x:v>
      </x:c>
      <x:c r="O145" s="24" t="n">
        <x:f>IF(OR(M145="W",M145="L"),(L145-N145)^2,"")</x:f>
        <x:v>0.2916</x:v>
      </x:c>
      <x:c r="P145" s="9" t="str">
        <x:v>YES</x:v>
      </x:c>
      <x:c r="Q145" s="9" t="str">
        <x:v>50-59</x:v>
      </x:c>
      <x:c r="R145" s="9" t="str">
        <x:v>NO</x:v>
      </x:c>
      <x:c r="S145" s="10" t="str">
        <x:v>Cricbuzz scorecard 2026-06-17</x:v>
      </x:c>
      <x:c r="T145" s="10" t="str">
        <x:f>IF(IFERROR(ISNUMBER(SEARCH("http",S145)),FALSE),"YES","NO")</x:f>
        <x:v>NO</x:v>
      </x:c>
      <x:c r="U145" s="10" t="str">
        <x:v>NO</x:v>
      </x:c>
      <x:c r="V145" s="10" t="str">
        <x:v>NO</x:v>
      </x:c>
      <x:c r="W145" s="10" t="str">
        <x:v>LEGACY_UNVERIFIED_SNAPSHOT: no immutable cutoff/model/source packet</x:v>
      </x:c>
      <x:c r="X145" s="10" t="str">
        <x:v>rank_error; exact_complement_selection</x:v>
      </x:c>
    </x:row>
    <x:row r="146">
      <x:c r="A146" s="9" t="n">
        <x:v>142</x:v>
      </x:c>
      <x:c r="B146" s="9" t="str">
        <x:v>CRIC-20260617-BAN-AUS</x:v>
      </x:c>
      <x:c r="C146" s="25" t="str">
        <x:v>2026-06-17</x:v>
      </x:c>
      <x:c r="D146" s="9" t="str">
        <x:v>Cricket</x:v>
      </x:c>
      <x:c r="E146" s="9" t="str">
        <x:v>Cricket</x:v>
      </x:c>
      <x:c r="F146" s="10" t="str">
        <x:v>Bangladesh vs Australia</x:v>
      </x:c>
      <x:c r="G146" s="10" t="str">
        <x:v>Australia tour of Bangladesh 1st T20I</x:v>
      </x:c>
      <x:c r="H146" s="10" t="str">
        <x:v>Bangladesh 1st innings 166.5 and first-6 50.5</x:v>
      </x:c>
      <x:c r="I146" s="9" t="n">
        <x:v>3</x:v>
      </x:c>
      <x:c r="J146" s="10" t="str">
        <x:v>Bangladesh first 6 overs Over 50.5 Runs</x:v>
      </x:c>
      <x:c r="K146" s="9" t="str">
        <x:v>Over 50.5</x:v>
      </x:c>
      <x:c r="L146" s="23" t="n">
        <x:v>0.46</x:v>
      </x:c>
      <x:c r="M146" s="9" t="str">
        <x:v>W</x:v>
      </x:c>
      <x:c r="N146" s="9" t="n">
        <x:f>IF(M146="W",1,IF(M146="L",0,""))</x:f>
        <x:v>1</x:v>
      </x:c>
      <x:c r="O146" s="24" t="n">
        <x:f>IF(OR(M146="W",M146="L"),(L146-N146)^2,"")</x:f>
        <x:v>0.2916</x:v>
      </x:c>
      <x:c r="P146" s="9" t="str">
        <x:v>YES</x:v>
      </x:c>
      <x:c r="Q146" s="9" t="str">
        <x:v>40-49</x:v>
      </x:c>
      <x:c r="R146" s="9" t="str">
        <x:v>NO</x:v>
      </x:c>
      <x:c r="S146" s="10" t="str">
        <x:v>Cricbuzz scorecard 2026-06-17</x:v>
      </x:c>
      <x:c r="T146" s="10" t="str">
        <x:f>IF(IFERROR(ISNUMBER(SEARCH("http",S146)),FALSE),"YES","NO")</x:f>
        <x:v>NO</x:v>
      </x:c>
      <x:c r="U146" s="10" t="str">
        <x:v>NO</x:v>
      </x:c>
      <x:c r="V146" s="10" t="str">
        <x:v>NO</x:v>
      </x:c>
      <x:c r="W146" s="10" t="str">
        <x:v>LEGACY_UNVERIFIED_SNAPSHOT: no immutable cutoff/model/source packet</x:v>
      </x:c>
      <x:c r="X146" s="10" t="str">
        <x:v>exact_complement_selection</x:v>
      </x:c>
    </x:row>
    <x:row r="147">
      <x:c r="A147" s="9" t="n">
        <x:v>143</x:v>
      </x:c>
      <x:c r="B147" s="9" t="str">
        <x:v>CRIC-20260617-BAN-AUS</x:v>
      </x:c>
      <x:c r="C147" s="25" t="str">
        <x:v>2026-06-17</x:v>
      </x:c>
      <x:c r="D147" s="9" t="str">
        <x:v>Cricket</x:v>
      </x:c>
      <x:c r="E147" s="9" t="str">
        <x:v>Cricket</x:v>
      </x:c>
      <x:c r="F147" s="10" t="str">
        <x:v>Bangladesh vs Australia</x:v>
      </x:c>
      <x:c r="G147" s="10" t="str">
        <x:v>Australia tour of Bangladesh 1st T20I</x:v>
      </x:c>
      <x:c r="H147" s="10" t="str">
        <x:v>Bangladesh 1st innings 166.5 and first-6 50.5</x:v>
      </x:c>
      <x:c r="I147" s="9" t="n">
        <x:v>4</x:v>
      </x:c>
      <x:c r="J147" s="10" t="str">
        <x:v>Bangladesh 1st Innings 20 overs Over 166.5 Runs</x:v>
      </x:c>
      <x:c r="K147" s="9" t="str">
        <x:v>Over 166.5</x:v>
      </x:c>
      <x:c r="L147" s="23" t="n">
        <x:v>0.43</x:v>
      </x:c>
      <x:c r="M147" s="9" t="str">
        <x:v>L</x:v>
      </x:c>
      <x:c r="N147" s="9" t="n">
        <x:f>IF(M147="W",1,IF(M147="L",0,""))</x:f>
        <x:v>0</x:v>
      </x:c>
      <x:c r="O147" s="24" t="n">
        <x:f>IF(OR(M147="W",M147="L"),(L147-N147)^2,"")</x:f>
        <x:v>0.18489999999999998</x:v>
      </x:c>
      <x:c r="P147" s="9" t="str">
        <x:v>YES</x:v>
      </x:c>
      <x:c r="Q147" s="9" t="str">
        <x:v>40-49</x:v>
      </x:c>
      <x:c r="R147" s="9" t="str">
        <x:v>NO</x:v>
      </x:c>
      <x:c r="S147" s="10" t="str">
        <x:v>Cricbuzz scorecard 2026-06-17</x:v>
      </x:c>
      <x:c r="T147" s="10" t="str">
        <x:f>IF(IFERROR(ISNUMBER(SEARCH("http",S147)),FALSE),"YES","NO")</x:f>
        <x:v>NO</x:v>
      </x:c>
      <x:c r="U147" s="10" t="str">
        <x:v>NO</x:v>
      </x:c>
      <x:c r="V147" s="10" t="str">
        <x:v>NO</x:v>
      </x:c>
      <x:c r="W147" s="10" t="str">
        <x:v>LEGACY_UNVERIFIED_SNAPSHOT: no immutable cutoff/model/source packet</x:v>
      </x:c>
      <x:c r="X147" s="10" t="str">
        <x:v>exact_complement_selection</x:v>
      </x:c>
    </x:row>
    <x:row r="148">
      <x:c r="A148" s="9" t="n">
        <x:v>144</x:v>
      </x:c>
      <x:c r="B148" s="9" t="str">
        <x:v>CRIC-20260617-BAN-AUS-PARLAY</x:v>
      </x:c>
      <x:c r="C148" s="25" t="str">
        <x:v>2026-06-17</x:v>
      </x:c>
      <x:c r="D148" s="9" t="str">
        <x:v>Cricket</x:v>
      </x:c>
      <x:c r="E148" s="9" t="str">
        <x:v>Cricket</x:v>
      </x:c>
      <x:c r="F148" s="10" t="str">
        <x:v>Bangladesh vs Australia</x:v>
      </x:c>
      <x:c r="G148" s="10" t="str">
        <x:v>Australia tour of Bangladesh 1st T20I</x:v>
      </x:c>
      <x:c r="H148" s="10" t="str">
        <x:v>Self-selected best four-leg parlay</x:v>
      </x:c>
      <x:c r="I148" s="9" t="n">
        <x:v>1</x:v>
      </x:c>
      <x:c r="J148" s="10" t="str">
        <x:v>Australia to take Over 4.5 Bangladesh wickets / Bangladesh lose 5+ wickets</x:v>
      </x:c>
      <x:c r="K148" s="9" t="str">
        <x:v>Over 4.5 wickets</x:v>
      </x:c>
      <x:c r="L148" s="23" t="n">
        <x:v>0.72</x:v>
      </x:c>
      <x:c r="M148" s="9" t="str">
        <x:v>W</x:v>
      </x:c>
      <x:c r="N148" s="9" t="n">
        <x:f>IF(M148="W",1,IF(M148="L",0,""))</x:f>
        <x:v>1</x:v>
      </x:c>
      <x:c r="O148" s="24" t="n">
        <x:f>IF(OR(M148="W",M148="L"),(L148-N148)^2,"")</x:f>
        <x:v>0.07840000000000001</x:v>
      </x:c>
      <x:c r="P148" s="9" t="str">
        <x:v>NO</x:v>
      </x:c>
      <x:c r="Q148" s="9" t="str">
        <x:v>70-79</x:v>
      </x:c>
      <x:c r="R148" s="9" t="str">
        <x:v>NO</x:v>
      </x:c>
      <x:c r="S148" s="10" t="str">
        <x:v>Cricbuzz scorecard 2026-06-17</x:v>
      </x:c>
      <x:c r="T148" s="10" t="str">
        <x:f>IF(IFERROR(ISNUMBER(SEARCH("http",S148)),FALSE),"YES","NO")</x:f>
        <x:v>NO</x:v>
      </x:c>
      <x:c r="U148" s="10" t="str">
        <x:v>NO</x:v>
      </x:c>
      <x:c r="V148" s="10" t="str">
        <x:v>NO</x:v>
      </x:c>
      <x:c r="W148" s="10" t="str">
        <x:v>LEGACY_UNVERIFIED_SNAPSHOT: no immutable cutoff/model/source packet</x:v>
      </x:c>
      <x:c r="X148" s="10" t="str">
        <x:v>legacy schema only</x:v>
      </x:c>
    </x:row>
    <x:row r="149">
      <x:c r="A149" s="9" t="n">
        <x:v>145</x:v>
      </x:c>
      <x:c r="B149" s="9" t="str">
        <x:v>CRIC-20260617-BAN-AUS-PARLAY</x:v>
      </x:c>
      <x:c r="C149" s="25" t="str">
        <x:v>2026-06-17</x:v>
      </x:c>
      <x:c r="D149" s="9" t="str">
        <x:v>Cricket</x:v>
      </x:c>
      <x:c r="E149" s="9" t="str">
        <x:v>Cricket</x:v>
      </x:c>
      <x:c r="F149" s="10" t="str">
        <x:v>Bangladesh vs Australia</x:v>
      </x:c>
      <x:c r="G149" s="10" t="str">
        <x:v>Australia tour of Bangladesh 1st T20I</x:v>
      </x:c>
      <x:c r="H149" s="10" t="str">
        <x:v>Self-selected best four-leg parlay</x:v>
      </x:c>
      <x:c r="I149" s="9" t="n">
        <x:v>2</x:v>
      </x:c>
      <x:c r="J149" s="10" t="str">
        <x:v>Bangladesh 1st innings Under 174.5 runs</x:v>
      </x:c>
      <x:c r="K149" s="9" t="str">
        <x:v>Under 174.5</x:v>
      </x:c>
      <x:c r="L149" s="23" t="n">
        <x:v>0.67</x:v>
      </x:c>
      <x:c r="M149" s="9" t="str">
        <x:v>W</x:v>
      </x:c>
      <x:c r="N149" s="9" t="n">
        <x:f>IF(M149="W",1,IF(M149="L",0,""))</x:f>
        <x:v>1</x:v>
      </x:c>
      <x:c r="O149" s="24" t="n">
        <x:f>IF(OR(M149="W",M149="L"),(L149-N149)^2,"")</x:f>
        <x:v>0.10889999999999997</x:v>
      </x:c>
      <x:c r="P149" s="9" t="str">
        <x:v>NO</x:v>
      </x:c>
      <x:c r="Q149" s="9" t="str">
        <x:v>60-69</x:v>
      </x:c>
      <x:c r="R149" s="9" t="str">
        <x:v>NO</x:v>
      </x:c>
      <x:c r="S149" s="10" t="str">
        <x:v>Cricbuzz scorecard 2026-06-17</x:v>
      </x:c>
      <x:c r="T149" s="10" t="str">
        <x:f>IF(IFERROR(ISNUMBER(SEARCH("http",S149)),FALSE),"YES","NO")</x:f>
        <x:v>NO</x:v>
      </x:c>
      <x:c r="U149" s="10" t="str">
        <x:v>NO</x:v>
      </x:c>
      <x:c r="V149" s="10" t="str">
        <x:v>NO</x:v>
      </x:c>
      <x:c r="W149" s="10" t="str">
        <x:v>LEGACY_UNVERIFIED_SNAPSHOT: no immutable cutoff/model/source packet</x:v>
      </x:c>
      <x:c r="X149" s="10" t="str">
        <x:v>legacy schema only</x:v>
      </x:c>
    </x:row>
    <x:row r="150">
      <x:c r="A150" s="9" t="n">
        <x:v>146</x:v>
      </x:c>
      <x:c r="B150" s="9" t="str">
        <x:v>CRIC-20260617-BAN-AUS-PARLAY</x:v>
      </x:c>
      <x:c r="C150" s="25" t="str">
        <x:v>2026-06-17</x:v>
      </x:c>
      <x:c r="D150" s="9" t="str">
        <x:v>Cricket</x:v>
      </x:c>
      <x:c r="E150" s="9" t="str">
        <x:v>Cricket</x:v>
      </x:c>
      <x:c r="F150" s="10" t="str">
        <x:v>Bangladesh vs Australia</x:v>
      </x:c>
      <x:c r="G150" s="10" t="str">
        <x:v>Australia tour of Bangladesh 1st T20I</x:v>
      </x:c>
      <x:c r="H150" s="10" t="str">
        <x:v>Self-selected best four-leg parlay</x:v>
      </x:c>
      <x:c r="I150" s="9" t="n">
        <x:v>3</x:v>
      </x:c>
      <x:c r="J150" s="10" t="str">
        <x:v>Bangladesh first 6 overs Under 56.5 runs</x:v>
      </x:c>
      <x:c r="K150" s="9" t="str">
        <x:v>Under 56.5</x:v>
      </x:c>
      <x:c r="L150" s="23" t="n">
        <x:v>0.63</x:v>
      </x:c>
      <x:c r="M150" s="9" t="str">
        <x:v>W</x:v>
      </x:c>
      <x:c r="N150" s="9" t="n">
        <x:f>IF(M150="W",1,IF(M150="L",0,""))</x:f>
        <x:v>1</x:v>
      </x:c>
      <x:c r="O150" s="24" t="n">
        <x:f>IF(OR(M150="W",M150="L"),(L150-N150)^2,"")</x:f>
        <x:v>0.1369</x:v>
      </x:c>
      <x:c r="P150" s="9" t="str">
        <x:v>NO</x:v>
      </x:c>
      <x:c r="Q150" s="9" t="str">
        <x:v>60-69</x:v>
      </x:c>
      <x:c r="R150" s="9" t="str">
        <x:v>NO</x:v>
      </x:c>
      <x:c r="S150" s="10" t="str">
        <x:v>Cricbuzz scorecard 2026-06-17</x:v>
      </x:c>
      <x:c r="T150" s="10" t="str">
        <x:f>IF(IFERROR(ISNUMBER(SEARCH("http",S150)),FALSE),"YES","NO")</x:f>
        <x:v>NO</x:v>
      </x:c>
      <x:c r="U150" s="10" t="str">
        <x:v>NO</x:v>
      </x:c>
      <x:c r="V150" s="10" t="str">
        <x:v>NO</x:v>
      </x:c>
      <x:c r="W150" s="10" t="str">
        <x:v>LEGACY_UNVERIFIED_SNAPSHOT: no immutable cutoff/model/source packet</x:v>
      </x:c>
      <x:c r="X150" s="10" t="str">
        <x:v>legacy schema only</x:v>
      </x:c>
    </x:row>
    <x:row r="151">
      <x:c r="A151" s="9" t="n">
        <x:v>147</x:v>
      </x:c>
      <x:c r="B151" s="9" t="str">
        <x:v>CRIC-20260617-BAN-AUS-PARLAY</x:v>
      </x:c>
      <x:c r="C151" s="25" t="str">
        <x:v>2026-06-17</x:v>
      </x:c>
      <x:c r="D151" s="9" t="str">
        <x:v>Cricket</x:v>
      </x:c>
      <x:c r="E151" s="9" t="str">
        <x:v>Cricket</x:v>
      </x:c>
      <x:c r="F151" s="10" t="str">
        <x:v>Bangladesh vs Australia</x:v>
      </x:c>
      <x:c r="G151" s="10" t="str">
        <x:v>Australia tour of Bangladesh 1st T20I</x:v>
      </x:c>
      <x:c r="H151" s="10" t="str">
        <x:v>Self-selected best four-leg parlay</x:v>
      </x:c>
      <x:c r="I151" s="9" t="n">
        <x:v>4</x:v>
      </x:c>
      <x:c r="J151" s="10" t="str">
        <x:v>Australia to win match</x:v>
      </x:c>
      <x:c r="K151" s="9" t="str">
        <x:v>Australia win</x:v>
      </x:c>
      <x:c r="L151" s="23" t="n">
        <x:v>0.58</x:v>
      </x:c>
      <x:c r="M151" s="9" t="str">
        <x:v>W</x:v>
      </x:c>
      <x:c r="N151" s="9" t="n">
        <x:f>IF(M151="W",1,IF(M151="L",0,""))</x:f>
        <x:v>1</x:v>
      </x:c>
      <x:c r="O151" s="24" t="n">
        <x:f>IF(OR(M151="W",M151="L"),(L151-N151)^2,"")</x:f>
        <x:v>0.17640000000000003</x:v>
      </x:c>
      <x:c r="P151" s="9" t="str">
        <x:v>NO</x:v>
      </x:c>
      <x:c r="Q151" s="9" t="str">
        <x:v>50-59</x:v>
      </x:c>
      <x:c r="R151" s="9" t="str">
        <x:v>NO</x:v>
      </x:c>
      <x:c r="S151" s="10" t="str">
        <x:v>Cricbuzz scorecard 2026-06-17</x:v>
      </x:c>
      <x:c r="T151" s="10" t="str">
        <x:f>IF(IFERROR(ISNUMBER(SEARCH("http",S151)),FALSE),"YES","NO")</x:f>
        <x:v>NO</x:v>
      </x:c>
      <x:c r="U151" s="10" t="str">
        <x:v>NO</x:v>
      </x:c>
      <x:c r="V151" s="10" t="str">
        <x:v>NO</x:v>
      </x:c>
      <x:c r="W151" s="10" t="str">
        <x:v>LEGACY_UNVERIFIED_SNAPSHOT: no immutable cutoff/model/source packet</x:v>
      </x:c>
      <x:c r="X151" s="10" t="str">
        <x:v>legacy schema only</x:v>
      </x:c>
    </x:row>
    <x:row r="152">
      <x:c r="A152" s="9" t="n">
        <x:v>148</x:v>
      </x:c>
      <x:c r="B152" s="9" t="str">
        <x:v>KBO-20260617-LG-KIA</x:v>
      </x:c>
      <x:c r="C152" s="25" t="str">
        <x:v>2026-06-17</x:v>
      </x:c>
      <x:c r="D152" s="9" t="str">
        <x:v>Baseball</x:v>
      </x:c>
      <x:c r="E152" s="9" t="str">
        <x:v>KBO Baseball</x:v>
      </x:c>
      <x:c r="F152" s="10" t="str">
        <x:v>LG Twins @ KIA Tigers</x:v>
      </x:c>
      <x:c r="G152" s="10" t="str">
        <x:v>KBO League regular season</x:v>
      </x:c>
      <x:c r="H152" s="10" t="str">
        <x:v>LG +1.5, KIA +0.5, full total 10.5</x:v>
      </x:c>
      <x:c r="I152" s="9" t="n">
        <x:v>1</x:v>
      </x:c>
      <x:c r="J152" s="10" t="str">
        <x:v>Twins +1.5</x:v>
      </x:c>
      <x:c r="K152" s="9" t="str">
        <x:v>LG +1.5</x:v>
      </x:c>
      <x:c r="L152" s="23" t="n">
        <x:v>0.64</x:v>
      </x:c>
      <x:c r="M152" s="9" t="str">
        <x:v>W</x:v>
      </x:c>
      <x:c r="N152" s="9" t="n">
        <x:f>IF(M152="W",1,IF(M152="L",0,""))</x:f>
        <x:v>1</x:v>
      </x:c>
      <x:c r="O152" s="24" t="n">
        <x:f>IF(OR(M152="W",M152="L"),(L152-N152)^2,"")</x:f>
        <x:v>0.1296</x:v>
      </x:c>
      <x:c r="P152" s="9" t="str">
        <x:v>NO</x:v>
      </x:c>
      <x:c r="Q152" s="9" t="str">
        <x:v>60-69</x:v>
      </x:c>
      <x:c r="R152" s="9" t="str">
        <x:v>NO</x:v>
      </x:c>
      <x:c r="S152" s="10" t="str">
        <x:v>MyKBO final 2026-06-17</x:v>
      </x:c>
      <x:c r="T152" s="10" t="str">
        <x:f>IF(IFERROR(ISNUMBER(SEARCH("http",S152)),FALSE),"YES","NO")</x:f>
        <x:v>NO</x:v>
      </x:c>
      <x:c r="U152" s="10" t="str">
        <x:v>NO</x:v>
      </x:c>
      <x:c r="V152" s="10" t="str">
        <x:v>NO</x:v>
      </x:c>
      <x:c r="W152" s="10" t="str">
        <x:v>LEGACY_UNVERIFIED_SNAPSHOT: no immutable cutoff/model/source packet</x:v>
      </x:c>
      <x:c r="X152" s="10" t="str">
        <x:v>legacy schema only</x:v>
      </x:c>
    </x:row>
    <x:row r="153">
      <x:c r="A153" s="9" t="n">
        <x:v>149</x:v>
      </x:c>
      <x:c r="B153" s="9" t="str">
        <x:v>KBO-20260617-LG-KIA</x:v>
      </x:c>
      <x:c r="C153" s="25" t="str">
        <x:v>2026-06-17</x:v>
      </x:c>
      <x:c r="D153" s="9" t="str">
        <x:v>Baseball</x:v>
      </x:c>
      <x:c r="E153" s="9" t="str">
        <x:v>KBO Baseball</x:v>
      </x:c>
      <x:c r="F153" s="10" t="str">
        <x:v>LG Twins @ KIA Tigers</x:v>
      </x:c>
      <x:c r="G153" s="10" t="str">
        <x:v>KBO League regular season</x:v>
      </x:c>
      <x:c r="H153" s="10" t="str">
        <x:v>LG +1.5, KIA +0.5, full total 10.5</x:v>
      </x:c>
      <x:c r="I153" s="9" t="n">
        <x:v>2</x:v>
      </x:c>
      <x:c r="J153" s="10" t="str">
        <x:v>Combined Final Total Under 10.5 runs</x:v>
      </x:c>
      <x:c r="K153" s="9" t="str">
        <x:v>Under 10.5</x:v>
      </x:c>
      <x:c r="L153" s="23" t="n">
        <x:v>0.57</x:v>
      </x:c>
      <x:c r="M153" s="9" t="str">
        <x:v>W</x:v>
      </x:c>
      <x:c r="N153" s="9" t="n">
        <x:f>IF(M153="W",1,IF(M153="L",0,""))</x:f>
        <x:v>1</x:v>
      </x:c>
      <x:c r="O153" s="24" t="n">
        <x:f>IF(OR(M153="W",M153="L"),(L153-N153)^2,"")</x:f>
        <x:v>0.18490000000000004</x:v>
      </x:c>
      <x:c r="P153" s="9" t="str">
        <x:v>YES</x:v>
      </x:c>
      <x:c r="Q153" s="9" t="str">
        <x:v>50-59</x:v>
      </x:c>
      <x:c r="R153" s="9" t="str">
        <x:v>NO</x:v>
      </x:c>
      <x:c r="S153" s="10" t="str">
        <x:v>MyKBO final 2026-06-17</x:v>
      </x:c>
      <x:c r="T153" s="10" t="str">
        <x:f>IF(IFERROR(ISNUMBER(SEARCH("http",S153)),FALSE),"YES","NO")</x:f>
        <x:v>NO</x:v>
      </x:c>
      <x:c r="U153" s="10" t="str">
        <x:v>NO</x:v>
      </x:c>
      <x:c r="V153" s="10" t="str">
        <x:v>NO</x:v>
      </x:c>
      <x:c r="W153" s="10" t="str">
        <x:v>LEGACY_UNVERIFIED_SNAPSHOT: no immutable cutoff/model/source packet</x:v>
      </x:c>
      <x:c r="X153" s="10" t="str">
        <x:v>exact_complement_selection</x:v>
      </x:c>
    </x:row>
    <x:row r="154">
      <x:c r="A154" s="9" t="n">
        <x:v>150</x:v>
      </x:c>
      <x:c r="B154" s="9" t="str">
        <x:v>KBO-20260617-LG-KIA</x:v>
      </x:c>
      <x:c r="C154" s="25" t="str">
        <x:v>2026-06-17</x:v>
      </x:c>
      <x:c r="D154" s="9" t="str">
        <x:v>Baseball</x:v>
      </x:c>
      <x:c r="E154" s="9" t="str">
        <x:v>KBO Baseball</x:v>
      </x:c>
      <x:c r="F154" s="10" t="str">
        <x:v>LG Twins @ KIA Tigers</x:v>
      </x:c>
      <x:c r="G154" s="10" t="str">
        <x:v>KBO League regular season</x:v>
      </x:c>
      <x:c r="H154" s="10" t="str">
        <x:v>LG +1.5, KIA +0.5, full total 10.5</x:v>
      </x:c>
      <x:c r="I154" s="9" t="n">
        <x:v>3</x:v>
      </x:c>
      <x:c r="J154" s="10" t="str">
        <x:v>Tigers +0.5</x:v>
      </x:c>
      <x:c r="K154" s="9" t="str">
        <x:v>KIA +0.5</x:v>
      </x:c>
      <x:c r="L154" s="23" t="n">
        <x:v>0.52</x:v>
      </x:c>
      <x:c r="M154" s="9" t="str">
        <x:v>W</x:v>
      </x:c>
      <x:c r="N154" s="9" t="n">
        <x:f>IF(M154="W",1,IF(M154="L",0,""))</x:f>
        <x:v>1</x:v>
      </x:c>
      <x:c r="O154" s="24" t="n">
        <x:f>IF(OR(M154="W",M154="L"),(L154-N154)^2,"")</x:f>
        <x:v>0.2304</x:v>
      </x:c>
      <x:c r="P154" s="9" t="str">
        <x:v>NO</x:v>
      </x:c>
      <x:c r="Q154" s="9" t="str">
        <x:v>50-59</x:v>
      </x:c>
      <x:c r="R154" s="9" t="str">
        <x:v>NO</x:v>
      </x:c>
      <x:c r="S154" s="10" t="str">
        <x:v>MyKBO final 2026-06-17</x:v>
      </x:c>
      <x:c r="T154" s="10" t="str">
        <x:f>IF(IFERROR(ISNUMBER(SEARCH("http",S154)),FALSE),"YES","NO")</x:f>
        <x:v>NO</x:v>
      </x:c>
      <x:c r="U154" s="10" t="str">
        <x:v>NO</x:v>
      </x:c>
      <x:c r="V154" s="10" t="str">
        <x:v>NO</x:v>
      </x:c>
      <x:c r="W154" s="10" t="str">
        <x:v>LEGACY_UNVERIFIED_SNAPSHOT: no immutable cutoff/model/source packet</x:v>
      </x:c>
      <x:c r="X154" s="10" t="str">
        <x:v>legacy schema only</x:v>
      </x:c>
    </x:row>
    <x:row r="155">
      <x:c r="A155" s="9" t="n">
        <x:v>151</x:v>
      </x:c>
      <x:c r="B155" s="9" t="str">
        <x:v>KBO-20260617-LG-KIA</x:v>
      </x:c>
      <x:c r="C155" s="25" t="str">
        <x:v>2026-06-17</x:v>
      </x:c>
      <x:c r="D155" s="9" t="str">
        <x:v>Baseball</x:v>
      </x:c>
      <x:c r="E155" s="9" t="str">
        <x:v>KBO Baseball</x:v>
      </x:c>
      <x:c r="F155" s="10" t="str">
        <x:v>LG Twins @ KIA Tigers</x:v>
      </x:c>
      <x:c r="G155" s="10" t="str">
        <x:v>KBO League regular season</x:v>
      </x:c>
      <x:c r="H155" s="10" t="str">
        <x:v>LG +1.5, KIA +0.5, full total 10.5</x:v>
      </x:c>
      <x:c r="I155" s="9" t="n">
        <x:v>4</x:v>
      </x:c>
      <x:c r="J155" s="10" t="str">
        <x:v>Combined Final Total Over 10.5 runs</x:v>
      </x:c>
      <x:c r="K155" s="9" t="str">
        <x:v>Over 10.5</x:v>
      </x:c>
      <x:c r="L155" s="23" t="n">
        <x:v>0.43</x:v>
      </x:c>
      <x:c r="M155" s="9" t="str">
        <x:v>L</x:v>
      </x:c>
      <x:c r="N155" s="9" t="n">
        <x:f>IF(M155="W",1,IF(M155="L",0,""))</x:f>
        <x:v>0</x:v>
      </x:c>
      <x:c r="O155" s="24" t="n">
        <x:f>IF(OR(M155="W",M155="L"),(L155-N155)^2,"")</x:f>
        <x:v>0.18489999999999998</x:v>
      </x:c>
      <x:c r="P155" s="9" t="str">
        <x:v>YES</x:v>
      </x:c>
      <x:c r="Q155" s="9" t="str">
        <x:v>40-49</x:v>
      </x:c>
      <x:c r="R155" s="9" t="str">
        <x:v>NO</x:v>
      </x:c>
      <x:c r="S155" s="10" t="str">
        <x:v>MyKBO final 2026-06-17</x:v>
      </x:c>
      <x:c r="T155" s="10" t="str">
        <x:f>IF(IFERROR(ISNUMBER(SEARCH("http",S155)),FALSE),"YES","NO")</x:f>
        <x:v>NO</x:v>
      </x:c>
      <x:c r="U155" s="10" t="str">
        <x:v>NO</x:v>
      </x:c>
      <x:c r="V155" s="10" t="str">
        <x:v>NO</x:v>
      </x:c>
      <x:c r="W155" s="10" t="str">
        <x:v>LEGACY_UNVERIFIED_SNAPSHOT: no immutable cutoff/model/source packet</x:v>
      </x:c>
      <x:c r="X155" s="10" t="str">
        <x:v>exact_complement_selection</x:v>
      </x:c>
    </x:row>
    <x:row r="156">
      <x:c r="A156" s="9" t="n">
        <x:v>152</x:v>
      </x:c>
      <x:c r="B156" s="9" t="str">
        <x:v>CRIC-20260617-INDW-NEDW</x:v>
      </x:c>
      <x:c r="C156" s="25" t="str">
        <x:v>2026-06-17</x:v>
      </x:c>
      <x:c r="D156" s="9" t="str">
        <x:v>Cricket</x:v>
      </x:c>
      <x:c r="E156" s="9" t="str">
        <x:v>Cricket</x:v>
      </x:c>
      <x:c r="F156" s="10" t="str">
        <x:v>India Women vs Netherlands Women</x:v>
      </x:c>
      <x:c r="G156" s="10" t="str">
        <x:v>ICC Women's T20 World Cup Group A</x:v>
      </x:c>
      <x:c r="H156" s="10" t="str">
        <x:v>Self-selected best four-leg parlay</x:v>
      </x:c>
      <x:c r="I156" s="9" t="n">
        <x:v>1</x:v>
      </x:c>
      <x:c r="J156" s="10" t="str">
        <x:v>India Women to win</x:v>
      </x:c>
      <x:c r="K156" s="9" t="str">
        <x:v>India win</x:v>
      </x:c>
      <x:c r="L156" s="23" t="n">
        <x:v>0.86</x:v>
      </x:c>
      <x:c r="M156" s="9" t="str">
        <x:v>W</x:v>
      </x:c>
      <x:c r="N156" s="9" t="n">
        <x:f>IF(M156="W",1,IF(M156="L",0,""))</x:f>
        <x:v>1</x:v>
      </x:c>
      <x:c r="O156" s="24" t="n">
        <x:f>IF(OR(M156="W",M156="L"),(L156-N156)^2,"")</x:f>
        <x:v>0.019600000000000003</x:v>
      </x:c>
      <x:c r="P156" s="9" t="str">
        <x:v>NO</x:v>
      </x:c>
      <x:c r="Q156" s="9" t="str">
        <x:v>80-89</x:v>
      </x:c>
      <x:c r="R156" s="9" t="str">
        <x:v>NO</x:v>
      </x:c>
      <x:c r="S156" s="10" t="str">
        <x:v>Cricbuzz scorecard/commentary 2026-06-18; ESPNcricinfo/AP cross-check</x:v>
      </x:c>
      <x:c r="T156" s="10" t="str">
        <x:f>IF(IFERROR(ISNUMBER(SEARCH("http",S156)),FALSE),"YES","NO")</x:f>
        <x:v>NO</x:v>
      </x:c>
      <x:c r="U156" s="10" t="str">
        <x:v>NO</x:v>
      </x:c>
      <x:c r="V156" s="10" t="str">
        <x:v>NO</x:v>
      </x:c>
      <x:c r="W156" s="10" t="str">
        <x:v>LEGACY_UNVERIFIED_SNAPSHOT: no immutable cutoff/model/source packet</x:v>
      </x:c>
      <x:c r="X156" s="10" t="str">
        <x:v>legacy schema only</x:v>
      </x:c>
    </x:row>
    <x:row r="157">
      <x:c r="A157" s="9" t="n">
        <x:v>153</x:v>
      </x:c>
      <x:c r="B157" s="9" t="str">
        <x:v>CRIC-20260617-INDW-NEDW</x:v>
      </x:c>
      <x:c r="C157" s="25" t="str">
        <x:v>2026-06-17</x:v>
      </x:c>
      <x:c r="D157" s="9" t="str">
        <x:v>Cricket</x:v>
      </x:c>
      <x:c r="E157" s="9" t="str">
        <x:v>Cricket</x:v>
      </x:c>
      <x:c r="F157" s="10" t="str">
        <x:v>India Women vs Netherlands Women</x:v>
      </x:c>
      <x:c r="G157" s="10" t="str">
        <x:v>ICC Women's T20 World Cup Group A</x:v>
      </x:c>
      <x:c r="H157" s="10" t="str">
        <x:v>Self-selected best four-leg parlay</x:v>
      </x:c>
      <x:c r="I157" s="9" t="n">
        <x:v>2</x:v>
      </x:c>
      <x:c r="J157" s="10" t="str">
        <x:v>India Women to take Over 4.5 wickets / Netherlands lose 5+ wickets</x:v>
      </x:c>
      <x:c r="K157" s="9" t="str">
        <x:v>Over 4.5 wickets</x:v>
      </x:c>
      <x:c r="L157" s="23" t="n">
        <x:v>0.8</x:v>
      </x:c>
      <x:c r="M157" s="9" t="str">
        <x:v>W</x:v>
      </x:c>
      <x:c r="N157" s="9" t="n">
        <x:f>IF(M157="W",1,IF(M157="L",0,""))</x:f>
        <x:v>1</x:v>
      </x:c>
      <x:c r="O157" s="24" t="n">
        <x:f>IF(OR(M157="W",M157="L"),(L157-N157)^2,"")</x:f>
        <x:v>0.03999999999999998</x:v>
      </x:c>
      <x:c r="P157" s="9" t="str">
        <x:v>NO</x:v>
      </x:c>
      <x:c r="Q157" s="9" t="str">
        <x:v>80-89</x:v>
      </x:c>
      <x:c r="R157" s="9" t="str">
        <x:v>NO</x:v>
      </x:c>
      <x:c r="S157" s="10" t="str">
        <x:v>Cricbuzz scorecard/commentary 2026-06-18; ESPNcricinfo/AP cross-check</x:v>
      </x:c>
      <x:c r="T157" s="10" t="str">
        <x:f>IF(IFERROR(ISNUMBER(SEARCH("http",S157)),FALSE),"YES","NO")</x:f>
        <x:v>NO</x:v>
      </x:c>
      <x:c r="U157" s="10" t="str">
        <x:v>NO</x:v>
      </x:c>
      <x:c r="V157" s="10" t="str">
        <x:v>NO</x:v>
      </x:c>
      <x:c r="W157" s="10" t="str">
        <x:v>LEGACY_UNVERIFIED_SNAPSHOT: no immutable cutoff/model/source packet</x:v>
      </x:c>
      <x:c r="X157" s="10" t="str">
        <x:v>legacy schema only</x:v>
      </x:c>
    </x:row>
    <x:row r="158">
      <x:c r="A158" s="9" t="n">
        <x:v>154</x:v>
      </x:c>
      <x:c r="B158" s="9" t="str">
        <x:v>CRIC-20260617-INDW-NEDW</x:v>
      </x:c>
      <x:c r="C158" s="25" t="str">
        <x:v>2026-06-17</x:v>
      </x:c>
      <x:c r="D158" s="9" t="str">
        <x:v>Cricket</x:v>
      </x:c>
      <x:c r="E158" s="9" t="str">
        <x:v>Cricket</x:v>
      </x:c>
      <x:c r="F158" s="10" t="str">
        <x:v>India Women vs Netherlands Women</x:v>
      </x:c>
      <x:c r="G158" s="10" t="str">
        <x:v>ICC Women's T20 World Cup Group A</x:v>
      </x:c>
      <x:c r="H158" s="10" t="str">
        <x:v>Self-selected best four-leg parlay</x:v>
      </x:c>
      <x:c r="I158" s="9" t="n">
        <x:v>3</x:v>
      </x:c>
      <x:c r="J158" s="10" t="str">
        <x:v>Netherlands Women team total Under 149.5 runs</x:v>
      </x:c>
      <x:c r="K158" s="9" t="str">
        <x:v>Under 149.5</x:v>
      </x:c>
      <x:c r="L158" s="23" t="n">
        <x:v>0.76</x:v>
      </x:c>
      <x:c r="M158" s="9" t="str">
        <x:v>W</x:v>
      </x:c>
      <x:c r="N158" s="9" t="n">
        <x:f>IF(M158="W",1,IF(M158="L",0,""))</x:f>
        <x:v>1</x:v>
      </x:c>
      <x:c r="O158" s="24" t="n">
        <x:f>IF(OR(M158="W",M158="L"),(L158-N158)^2,"")</x:f>
        <x:v>0.0576</x:v>
      </x:c>
      <x:c r="P158" s="9" t="str">
        <x:v>NO</x:v>
      </x:c>
      <x:c r="Q158" s="9" t="str">
        <x:v>70-79</x:v>
      </x:c>
      <x:c r="R158" s="9" t="str">
        <x:v>NO</x:v>
      </x:c>
      <x:c r="S158" s="10" t="str">
        <x:v>Cricbuzz scorecard/commentary 2026-06-18; ESPNcricinfo/AP cross-check</x:v>
      </x:c>
      <x:c r="T158" s="10" t="str">
        <x:f>IF(IFERROR(ISNUMBER(SEARCH("http",S158)),FALSE),"YES","NO")</x:f>
        <x:v>NO</x:v>
      </x:c>
      <x:c r="U158" s="10" t="str">
        <x:v>NO</x:v>
      </x:c>
      <x:c r="V158" s="10" t="str">
        <x:v>NO</x:v>
      </x:c>
      <x:c r="W158" s="10" t="str">
        <x:v>LEGACY_UNVERIFIED_SNAPSHOT: no immutable cutoff/model/source packet</x:v>
      </x:c>
      <x:c r="X158" s="10" t="str">
        <x:v>legacy schema only</x:v>
      </x:c>
    </x:row>
    <x:row r="159">
      <x:c r="A159" s="9" t="n">
        <x:v>155</x:v>
      </x:c>
      <x:c r="B159" s="9" t="str">
        <x:v>CRIC-20260617-INDW-NEDW</x:v>
      </x:c>
      <x:c r="C159" s="25" t="str">
        <x:v>2026-06-17</x:v>
      </x:c>
      <x:c r="D159" s="9" t="str">
        <x:v>Cricket</x:v>
      </x:c>
      <x:c r="E159" s="9" t="str">
        <x:v>Cricket</x:v>
      </x:c>
      <x:c r="F159" s="10" t="str">
        <x:v>India Women vs Netherlands Women</x:v>
      </x:c>
      <x:c r="G159" s="10" t="str">
        <x:v>ICC Women's T20 World Cup Group A</x:v>
      </x:c>
      <x:c r="H159" s="10" t="str">
        <x:v>Self-selected best four-leg parlay</x:v>
      </x:c>
      <x:c r="I159" s="9" t="n">
        <x:v>4</x:v>
      </x:c>
      <x:c r="J159" s="10" t="str">
        <x:v>India Women 1st innings Under 184.5 runs</x:v>
      </x:c>
      <x:c r="K159" s="9" t="str">
        <x:v>Under 184.5</x:v>
      </x:c>
      <x:c r="L159" s="23" t="n">
        <x:v>0.69</x:v>
      </x:c>
      <x:c r="M159" s="9" t="str">
        <x:v>L</x:v>
      </x:c>
      <x:c r="N159" s="9" t="n">
        <x:f>IF(M159="W",1,IF(M159="L",0,""))</x:f>
        <x:v>0</x:v>
      </x:c>
      <x:c r="O159" s="24" t="n">
        <x:f>IF(OR(M159="W",M159="L"),(L159-N159)^2,"")</x:f>
        <x:v>0.4760999999999999</x:v>
      </x:c>
      <x:c r="P159" s="9" t="str">
        <x:v>NO</x:v>
      </x:c>
      <x:c r="Q159" s="9" t="str">
        <x:v>60-69</x:v>
      </x:c>
      <x:c r="R159" s="9" t="str">
        <x:v>NO</x:v>
      </x:c>
      <x:c r="S159" s="10" t="str">
        <x:v>Cricbuzz scorecard/commentary 2026-06-18; ESPNcricinfo/AP cross-check</x:v>
      </x:c>
      <x:c r="T159" s="10" t="str">
        <x:f>IF(IFERROR(ISNUMBER(SEARCH("http",S159)),FALSE),"YES","NO")</x:f>
        <x:v>NO</x:v>
      </x:c>
      <x:c r="U159" s="10" t="str">
        <x:v>NO</x:v>
      </x:c>
      <x:c r="V159" s="10" t="str">
        <x:v>NO</x:v>
      </x:c>
      <x:c r="W159" s="10" t="str">
        <x:v>LEGACY_UNVERIFIED_SNAPSHOT: no immutable cutoff/model/source packet</x:v>
      </x:c>
      <x:c r="X159" s="10" t="str">
        <x:v>projection_error; source_error</x:v>
      </x:c>
    </x:row>
    <x:row r="160">
      <x:c r="A160" s="9" t="n">
        <x:v>156</x:v>
      </x:c>
      <x:c r="B160" s="9" t="str">
        <x:v>CRIC-20260617-INDW-NEDW-PP55</x:v>
      </x:c>
      <x:c r="C160" s="25" t="str">
        <x:v>2026-06-17</x:v>
      </x:c>
      <x:c r="D160" s="9" t="str">
        <x:v>Cricket</x:v>
      </x:c>
      <x:c r="E160" s="9" t="str">
        <x:v>Cricket</x:v>
      </x:c>
      <x:c r="F160" s="10" t="str">
        <x:v>India Women vs Netherlands Women</x:v>
      </x:c>
      <x:c r="G160" s="10" t="str">
        <x:v>ICC Women's T20 World Cup Group A</x:v>
      </x:c>
      <x:c r="H160" s="10" t="str">
        <x:v>India first 6 overs 55.0 follow-up</x:v>
      </x:c>
      <x:c r="I160" s="9" t="n">
        <x:v>1</x:v>
      </x:c>
      <x:c r="J160" s="10" t="str">
        <x:v>India first 6 overs Under 55.0 lean</x:v>
      </x:c>
      <x:c r="K160" s="9" t="str">
        <x:v>Under 55.0</x:v>
      </x:c>
      <x:c r="L160" s="23" t="n">
        <x:v>0.55</x:v>
      </x:c>
      <x:c r="M160" s="9" t="str">
        <x:v>L</x:v>
      </x:c>
      <x:c r="N160" s="9" t="n">
        <x:f>IF(M160="W",1,IF(M160="L",0,""))</x:f>
        <x:v>0</x:v>
      </x:c>
      <x:c r="O160" s="24" t="n">
        <x:f>IF(OR(M160="W",M160="L"),(L160-N160)^2,"")</x:f>
        <x:v>0.30250000000000005</x:v>
      </x:c>
      <x:c r="P160" s="9" t="str">
        <x:v>NO</x:v>
      </x:c>
      <x:c r="Q160" s="9" t="str">
        <x:v>50-59</x:v>
      </x:c>
      <x:c r="R160" s="9" t="str">
        <x:v>NO</x:v>
      </x:c>
      <x:c r="S160" s="10" t="str">
        <x:v>Cricbuzz scorecard 2026-06-18</x:v>
      </x:c>
      <x:c r="T160" s="10" t="str">
        <x:f>IF(IFERROR(ISNUMBER(SEARCH("http",S160)),FALSE),"YES","NO")</x:f>
        <x:v>NO</x:v>
      </x:c>
      <x:c r="U160" s="10" t="str">
        <x:v>NO</x:v>
      </x:c>
      <x:c r="V160" s="10" t="str">
        <x:v>NO</x:v>
      </x:c>
      <x:c r="W160" s="10" t="str">
        <x:v>LEGACY_UNVERIFIED_SNAPSHOT: no immutable cutoff/model/source packet</x:v>
      </x:c>
      <x:c r="X160" s="10" t="str">
        <x:v>projection_error; rank_error</x:v>
      </x:c>
    </x:row>
    <x:row r="161">
      <x:c r="A161" s="9" t="n">
        <x:v>157</x:v>
      </x:c>
      <x:c r="B161" s="9" t="str">
        <x:v>MLB-20260618-NYM-CIN</x:v>
      </x:c>
      <x:c r="C161" s="25" t="str">
        <x:v>2026-06-18</x:v>
      </x:c>
      <x:c r="D161" s="9" t="str">
        <x:v>Baseball</x:v>
      </x:c>
      <x:c r="E161" s="9" t="str">
        <x:v>Baseball</x:v>
      </x:c>
      <x:c r="F161" s="10" t="str">
        <x:v>New York Mets @ Cincinnati Reds</x:v>
      </x:c>
      <x:c r="G161" s="10" t="str">
        <x:v>MLB regular season</x:v>
      </x:c>
      <x:c r="H161" s="10" t="str">
        <x:v>Mets +0.5, Reds +1.5, full total 9.0</x:v>
      </x:c>
      <x:c r="I161" s="9" t="n">
        <x:v>1</x:v>
      </x:c>
      <x:c r="J161" s="10" t="str">
        <x:v>Reds +1.5</x:v>
      </x:c>
      <x:c r="K161" s="9" t="str">
        <x:v>Reds +1.5</x:v>
      </x:c>
      <x:c r="L161" s="23" t="n">
        <x:v>0.64</x:v>
      </x:c>
      <x:c r="M161" s="9" t="str">
        <x:v>L</x:v>
      </x:c>
      <x:c r="N161" s="9" t="n">
        <x:f>IF(M161="W",1,IF(M161="L",0,""))</x:f>
        <x:v>0</x:v>
      </x:c>
      <x:c r="O161" s="24" t="n">
        <x:f>IF(OR(M161="W",M161="L"),(L161-N161)^2,"")</x:f>
        <x:v>0.4096</x:v>
      </x:c>
      <x:c r="P161" s="9" t="str">
        <x:v>NO</x:v>
      </x:c>
      <x:c r="Q161" s="9" t="str">
        <x:v>60-69</x:v>
      </x:c>
      <x:c r="R161" s="9" t="str">
        <x:v>NO</x:v>
      </x:c>
      <x:c r="S161" s="10" t="str">
        <x:v>MLB Stats API schedule gamePk 824503; CBS/AP recap 2026-06-18</x:v>
      </x:c>
      <x:c r="T161" s="10" t="str">
        <x:f>IF(IFERROR(ISNUMBER(SEARCH("http",S161)),FALSE),"YES","NO")</x:f>
        <x:v>NO</x:v>
      </x:c>
      <x:c r="U161" s="10" t="str">
        <x:v>NO</x:v>
      </x:c>
      <x:c r="V161" s="10" t="str">
        <x:v>NO</x:v>
      </x:c>
      <x:c r="W161" s="10" t="str">
        <x:v>LEGACY_UNVERIFIED_SNAPSHOT: no immutable cutoff/model/source packet</x:v>
      </x:c>
      <x:c r="X161" s="10" t="str">
        <x:v>projection_error; rank_error</x:v>
      </x:c>
    </x:row>
    <x:row r="162">
      <x:c r="A162" s="9" t="n">
        <x:v>158</x:v>
      </x:c>
      <x:c r="B162" s="9" t="str">
        <x:v>MLB-20260618-NYM-CIN</x:v>
      </x:c>
      <x:c r="C162" s="25" t="str">
        <x:v>2026-06-18</x:v>
      </x:c>
      <x:c r="D162" s="9" t="str">
        <x:v>Baseball</x:v>
      </x:c>
      <x:c r="E162" s="9" t="str">
        <x:v>Baseball</x:v>
      </x:c>
      <x:c r="F162" s="10" t="str">
        <x:v>New York Mets @ Cincinnati Reds</x:v>
      </x:c>
      <x:c r="G162" s="10" t="str">
        <x:v>MLB regular season</x:v>
      </x:c>
      <x:c r="H162" s="10" t="str">
        <x:v>Mets +0.5, Reds +1.5, full total 9.0</x:v>
      </x:c>
      <x:c r="I162" s="9" t="n">
        <x:v>2</x:v>
      </x:c>
      <x:c r="J162" s="10" t="str">
        <x:v>Mets +0.5</x:v>
      </x:c>
      <x:c r="K162" s="9" t="str">
        <x:v>Mets +0.5</x:v>
      </x:c>
      <x:c r="L162" s="23" t="n">
        <x:v>0.53</x:v>
      </x:c>
      <x:c r="M162" s="9" t="str">
        <x:v>W</x:v>
      </x:c>
      <x:c r="N162" s="9" t="n">
        <x:f>IF(M162="W",1,IF(M162="L",0,""))</x:f>
        <x:v>1</x:v>
      </x:c>
      <x:c r="O162" s="24" t="n">
        <x:f>IF(OR(M162="W",M162="L"),(L162-N162)^2,"")</x:f>
        <x:v>0.22089999999999999</x:v>
      </x:c>
      <x:c r="P162" s="9" t="str">
        <x:v>NO</x:v>
      </x:c>
      <x:c r="Q162" s="9" t="str">
        <x:v>50-59</x:v>
      </x:c>
      <x:c r="R162" s="9" t="str">
        <x:v>NO</x:v>
      </x:c>
      <x:c r="S162" s="10" t="str">
        <x:v>MLB Stats API schedule gamePk 824503; CBS/AP recap 2026-06-18</x:v>
      </x:c>
      <x:c r="T162" s="10" t="str">
        <x:f>IF(IFERROR(ISNUMBER(SEARCH("http",S162)),FALSE),"YES","NO")</x:f>
        <x:v>NO</x:v>
      </x:c>
      <x:c r="U162" s="10" t="str">
        <x:v>NO</x:v>
      </x:c>
      <x:c r="V162" s="10" t="str">
        <x:v>NO</x:v>
      </x:c>
      <x:c r="W162" s="10" t="str">
        <x:v>LEGACY_UNVERIFIED_SNAPSHOT: no immutable cutoff/model/source packet</x:v>
      </x:c>
      <x:c r="X162" s="10" t="str">
        <x:v>legacy schema only</x:v>
      </x:c>
    </x:row>
    <x:row r="163">
      <x:c r="A163" s="9" t="n">
        <x:v>159</x:v>
      </x:c>
      <x:c r="B163" s="9" t="str">
        <x:v>MLB-20260618-NYM-CIN</x:v>
      </x:c>
      <x:c r="C163" s="25" t="str">
        <x:v>2026-06-18</x:v>
      </x:c>
      <x:c r="D163" s="9" t="str">
        <x:v>Baseball</x:v>
      </x:c>
      <x:c r="E163" s="9" t="str">
        <x:v>Baseball</x:v>
      </x:c>
      <x:c r="F163" s="10" t="str">
        <x:v>New York Mets @ Cincinnati Reds</x:v>
      </x:c>
      <x:c r="G163" s="10" t="str">
        <x:v>MLB regular season</x:v>
      </x:c>
      <x:c r="H163" s="10" t="str">
        <x:v>Mets +0.5, Reds +1.5, full total 9.0</x:v>
      </x:c>
      <x:c r="I163" s="9" t="n">
        <x:v>3</x:v>
      </x:c>
      <x:c r="J163" s="10" t="str">
        <x:v>Combined Final Total Over 9.0 runs</x:v>
      </x:c>
      <x:c r="K163" s="9" t="str">
        <x:v>Over 9.0</x:v>
      </x:c>
      <x:c r="L163" s="23" t="n">
        <x:v>0.48</x:v>
      </x:c>
      <x:c r="M163" s="9" t="str">
        <x:v>W</x:v>
      </x:c>
      <x:c r="N163" s="9" t="n">
        <x:f>IF(M163="W",1,IF(M163="L",0,""))</x:f>
        <x:v>1</x:v>
      </x:c>
      <x:c r="O163" s="24" t="n">
        <x:f>IF(OR(M163="W",M163="L"),(L163-N163)^2,"")</x:f>
        <x:v>0.27040000000000003</x:v>
      </x:c>
      <x:c r="P163" s="9" t="str">
        <x:v>YES</x:v>
      </x:c>
      <x:c r="Q163" s="9" t="str">
        <x:v>40-49</x:v>
      </x:c>
      <x:c r="R163" s="9" t="str">
        <x:v>NO</x:v>
      </x:c>
      <x:c r="S163" s="10" t="str">
        <x:v>MLB Stats API schedule gamePk 824503; CBS/AP recap 2026-06-18</x:v>
      </x:c>
      <x:c r="T163" s="10" t="str">
        <x:f>IF(IFERROR(ISNUMBER(SEARCH("http",S163)),FALSE),"YES","NO")</x:f>
        <x:v>NO</x:v>
      </x:c>
      <x:c r="U163" s="10" t="str">
        <x:v>NO</x:v>
      </x:c>
      <x:c r="V163" s="10" t="str">
        <x:v>NO</x:v>
      </x:c>
      <x:c r="W163" s="10" t="str">
        <x:v>LEGACY_UNVERIFIED_SNAPSHOT: no immutable cutoff/model/source packet</x:v>
      </x:c>
      <x:c r="X163" s="10" t="str">
        <x:v>projection_error; exact_complement_selection</x:v>
      </x:c>
    </x:row>
    <x:row r="164">
      <x:c r="A164" s="9" t="n">
        <x:v>160</x:v>
      </x:c>
      <x:c r="B164" s="9" t="str">
        <x:v>MLB-20260618-NYM-CIN</x:v>
      </x:c>
      <x:c r="C164" s="25" t="str">
        <x:v>2026-06-18</x:v>
      </x:c>
      <x:c r="D164" s="9" t="str">
        <x:v>Baseball</x:v>
      </x:c>
      <x:c r="E164" s="9" t="str">
        <x:v>Baseball</x:v>
      </x:c>
      <x:c r="F164" s="10" t="str">
        <x:v>New York Mets @ Cincinnati Reds</x:v>
      </x:c>
      <x:c r="G164" s="10" t="str">
        <x:v>MLB regular season</x:v>
      </x:c>
      <x:c r="H164" s="10" t="str">
        <x:v>Mets +0.5, Reds +1.5, full total 9.0</x:v>
      </x:c>
      <x:c r="I164" s="9" t="n">
        <x:v>4</x:v>
      </x:c>
      <x:c r="J164" s="10" t="str">
        <x:v>Combined Final Total Under 9.0 runs</x:v>
      </x:c>
      <x:c r="K164" s="9" t="str">
        <x:v>Under 9.0</x:v>
      </x:c>
      <x:c r="L164" s="23" t="n">
        <x:v>0.4</x:v>
      </x:c>
      <x:c r="M164" s="9" t="str">
        <x:v>L</x:v>
      </x:c>
      <x:c r="N164" s="9" t="n">
        <x:f>IF(M164="W",1,IF(M164="L",0,""))</x:f>
        <x:v>0</x:v>
      </x:c>
      <x:c r="O164" s="24" t="n">
        <x:f>IF(OR(M164="W",M164="L"),(L164-N164)^2,"")</x:f>
        <x:v>0.16000000000000003</x:v>
      </x:c>
      <x:c r="P164" s="9" t="str">
        <x:v>YES</x:v>
      </x:c>
      <x:c r="Q164" s="9" t="str">
        <x:v>40-49</x:v>
      </x:c>
      <x:c r="R164" s="9" t="str">
        <x:v>NO</x:v>
      </x:c>
      <x:c r="S164" s="10" t="str">
        <x:v>MLB Stats API schedule gamePk 824503; CBS/AP recap 2026-06-18</x:v>
      </x:c>
      <x:c r="T164" s="10" t="str">
        <x:f>IF(IFERROR(ISNUMBER(SEARCH("http",S164)),FALSE),"YES","NO")</x:f>
        <x:v>NO</x:v>
      </x:c>
      <x:c r="U164" s="10" t="str">
        <x:v>NO</x:v>
      </x:c>
      <x:c r="V164" s="10" t="str">
        <x:v>NO</x:v>
      </x:c>
      <x:c r="W164" s="10" t="str">
        <x:v>LEGACY_UNVERIFIED_SNAPSHOT: no immutable cutoff/model/source packet</x:v>
      </x:c>
      <x:c r="X164" s="10" t="str">
        <x:v>exact_complement_selection</x:v>
      </x:c>
    </x:row>
    <x:row r="165">
      <x:c r="A165" s="9" t="n">
        <x:v>161</x:v>
      </x:c>
      <x:c r="B165" s="9" t="str">
        <x:v>MLB-20260618-NYM-CIN-PARLAY</x:v>
      </x:c>
      <x:c r="C165" s="25" t="str">
        <x:v>2026-06-18</x:v>
      </x:c>
      <x:c r="D165" s="9" t="str">
        <x:v>Baseball</x:v>
      </x:c>
      <x:c r="E165" s="9" t="str">
        <x:v>Baseball</x:v>
      </x:c>
      <x:c r="F165" s="10" t="str">
        <x:v>New York Mets @ Cincinnati Reds</x:v>
      </x:c>
      <x:c r="G165" s="10" t="str">
        <x:v>MLB regular season</x:v>
      </x:c>
      <x:c r="H165" s="10" t="str">
        <x:v>Reds +2.5, total over 6.5, total under 12.5, Mets TT over 2.5</x:v>
      </x:c>
      <x:c r="I165" s="9" t="n">
        <x:v>1</x:v>
      </x:c>
      <x:c r="J165" s="10" t="str">
        <x:v>Reds +2.5 runs</x:v>
      </x:c>
      <x:c r="K165" s="9" t="str">
        <x:v>Reds +2.5</x:v>
      </x:c>
      <x:c r="L165" s="23" t="n">
        <x:v>0.76</x:v>
      </x:c>
      <x:c r="M165" s="9" t="str">
        <x:v>L</x:v>
      </x:c>
      <x:c r="N165" s="9" t="n">
        <x:f>IF(M165="W",1,IF(M165="L",0,""))</x:f>
        <x:v>0</x:v>
      </x:c>
      <x:c r="O165" s="24" t="n">
        <x:f>IF(OR(M165="W",M165="L"),(L165-N165)^2,"")</x:f>
        <x:v>0.5776</x:v>
      </x:c>
      <x:c r="P165" s="9" t="str">
        <x:v>NO</x:v>
      </x:c>
      <x:c r="Q165" s="9" t="str">
        <x:v>70-79</x:v>
      </x:c>
      <x:c r="R165" s="9" t="str">
        <x:v>NO</x:v>
      </x:c>
      <x:c r="S165" s="10" t="str">
        <x:v>MLB Stats API schedule gamePk 824503; CBS/AP recap 2026-06-18</x:v>
      </x:c>
      <x:c r="T165" s="10" t="str">
        <x:f>IF(IFERROR(ISNUMBER(SEARCH("http",S165)),FALSE),"YES","NO")</x:f>
        <x:v>NO</x:v>
      </x:c>
      <x:c r="U165" s="10" t="str">
        <x:v>NO</x:v>
      </x:c>
      <x:c r="V165" s="10" t="str">
        <x:v>NO</x:v>
      </x:c>
      <x:c r="W165" s="10" t="str">
        <x:v>LEGACY_UNVERIFIED_SNAPSHOT: no immutable cutoff/model/source packet</x:v>
      </x:c>
      <x:c r="X165" s="10" t="str">
        <x:v>projection_error; rank_error</x:v>
      </x:c>
    </x:row>
    <x:row r="166">
      <x:c r="A166" s="9" t="n">
        <x:v>162</x:v>
      </x:c>
      <x:c r="B166" s="9" t="str">
        <x:v>MLB-20260618-NYM-CIN-PARLAY</x:v>
      </x:c>
      <x:c r="C166" s="25" t="str">
        <x:v>2026-06-18</x:v>
      </x:c>
      <x:c r="D166" s="9" t="str">
        <x:v>Baseball</x:v>
      </x:c>
      <x:c r="E166" s="9" t="str">
        <x:v>Baseball</x:v>
      </x:c>
      <x:c r="F166" s="10" t="str">
        <x:v>New York Mets @ Cincinnati Reds</x:v>
      </x:c>
      <x:c r="G166" s="10" t="str">
        <x:v>MLB regular season</x:v>
      </x:c>
      <x:c r="H166" s="10" t="str">
        <x:v>Reds +2.5, total over 6.5, total under 12.5, Mets TT over 2.5</x:v>
      </x:c>
      <x:c r="I166" s="9" t="n">
        <x:v>2</x:v>
      </x:c>
      <x:c r="J166" s="10" t="str">
        <x:v>Combined Final Total Over 6.5 runs</x:v>
      </x:c>
      <x:c r="K166" s="9" t="str">
        <x:v>Over 6.5</x:v>
      </x:c>
      <x:c r="L166" s="23" t="n">
        <x:v>0.7</x:v>
      </x:c>
      <x:c r="M166" s="9" t="str">
        <x:v>W</x:v>
      </x:c>
      <x:c r="N166" s="9" t="n">
        <x:f>IF(M166="W",1,IF(M166="L",0,""))</x:f>
        <x:v>1</x:v>
      </x:c>
      <x:c r="O166" s="24" t="n">
        <x:f>IF(OR(M166="W",M166="L"),(L166-N166)^2,"")</x:f>
        <x:v>0.09000000000000002</x:v>
      </x:c>
      <x:c r="P166" s="9" t="str">
        <x:v>NO</x:v>
      </x:c>
      <x:c r="Q166" s="9" t="str">
        <x:v>70-79</x:v>
      </x:c>
      <x:c r="R166" s="9" t="str">
        <x:v>NO</x:v>
      </x:c>
      <x:c r="S166" s="10" t="str">
        <x:v>MLB Stats API schedule gamePk 824503; CBS/AP recap 2026-06-18</x:v>
      </x:c>
      <x:c r="T166" s="10" t="str">
        <x:f>IF(IFERROR(ISNUMBER(SEARCH("http",S166)),FALSE),"YES","NO")</x:f>
        <x:v>NO</x:v>
      </x:c>
      <x:c r="U166" s="10" t="str">
        <x:v>NO</x:v>
      </x:c>
      <x:c r="V166" s="10" t="str">
        <x:v>NO</x:v>
      </x:c>
      <x:c r="W166" s="10" t="str">
        <x:v>LEGACY_UNVERIFIED_SNAPSHOT: no immutable cutoff/model/source packet</x:v>
      </x:c>
      <x:c r="X166" s="10" t="str">
        <x:v>legacy schema only</x:v>
      </x:c>
    </x:row>
    <x:row r="167">
      <x:c r="A167" s="9" t="n">
        <x:v>163</x:v>
      </x:c>
      <x:c r="B167" s="9" t="str">
        <x:v>MLB-20260618-NYM-CIN-PARLAY</x:v>
      </x:c>
      <x:c r="C167" s="25" t="str">
        <x:v>2026-06-18</x:v>
      </x:c>
      <x:c r="D167" s="9" t="str">
        <x:v>Baseball</x:v>
      </x:c>
      <x:c r="E167" s="9" t="str">
        <x:v>Baseball</x:v>
      </x:c>
      <x:c r="F167" s="10" t="str">
        <x:v>New York Mets @ Cincinnati Reds</x:v>
      </x:c>
      <x:c r="G167" s="10" t="str">
        <x:v>MLB regular season</x:v>
      </x:c>
      <x:c r="H167" s="10" t="str">
        <x:v>Reds +2.5, total over 6.5, total under 12.5, Mets TT over 2.5</x:v>
      </x:c>
      <x:c r="I167" s="9" t="n">
        <x:v>3</x:v>
      </x:c>
      <x:c r="J167" s="10" t="str">
        <x:v>Combined Final Total Under 12.5 runs</x:v>
      </x:c>
      <x:c r="K167" s="9" t="str">
        <x:v>Under 12.5</x:v>
      </x:c>
      <x:c r="L167" s="23" t="n">
        <x:v>0.66</x:v>
      </x:c>
      <x:c r="M167" s="9" t="str">
        <x:v>W</x:v>
      </x:c>
      <x:c r="N167" s="9" t="n">
        <x:f>IF(M167="W",1,IF(M167="L",0,""))</x:f>
        <x:v>1</x:v>
      </x:c>
      <x:c r="O167" s="24" t="n">
        <x:f>IF(OR(M167="W",M167="L"),(L167-N167)^2,"")</x:f>
        <x:v>0.11559999999999998</x:v>
      </x:c>
      <x:c r="P167" s="9" t="str">
        <x:v>NO</x:v>
      </x:c>
      <x:c r="Q167" s="9" t="str">
        <x:v>60-69</x:v>
      </x:c>
      <x:c r="R167" s="9" t="str">
        <x:v>NO</x:v>
      </x:c>
      <x:c r="S167" s="10" t="str">
        <x:v>MLB Stats API schedule gamePk 824503; CBS/AP recap 2026-06-18</x:v>
      </x:c>
      <x:c r="T167" s="10" t="str">
        <x:f>IF(IFERROR(ISNUMBER(SEARCH("http",S167)),FALSE),"YES","NO")</x:f>
        <x:v>NO</x:v>
      </x:c>
      <x:c r="U167" s="10" t="str">
        <x:v>NO</x:v>
      </x:c>
      <x:c r="V167" s="10" t="str">
        <x:v>NO</x:v>
      </x:c>
      <x:c r="W167" s="10" t="str">
        <x:v>LEGACY_UNVERIFIED_SNAPSHOT: no immutable cutoff/model/source packet</x:v>
      </x:c>
      <x:c r="X167" s="10" t="str">
        <x:v>legacy schema only</x:v>
      </x:c>
    </x:row>
    <x:row r="168">
      <x:c r="A168" s="9" t="n">
        <x:v>164</x:v>
      </x:c>
      <x:c r="B168" s="9" t="str">
        <x:v>MLB-20260618-NYM-CIN-PARLAY</x:v>
      </x:c>
      <x:c r="C168" s="25" t="str">
        <x:v>2026-06-18</x:v>
      </x:c>
      <x:c r="D168" s="9" t="str">
        <x:v>Baseball</x:v>
      </x:c>
      <x:c r="E168" s="9" t="str">
        <x:v>Baseball</x:v>
      </x:c>
      <x:c r="F168" s="10" t="str">
        <x:v>New York Mets @ Cincinnati Reds</x:v>
      </x:c>
      <x:c r="G168" s="10" t="str">
        <x:v>MLB regular season</x:v>
      </x:c>
      <x:c r="H168" s="10" t="str">
        <x:v>Reds +2.5, total over 6.5, total under 12.5, Mets TT over 2.5</x:v>
      </x:c>
      <x:c r="I168" s="9" t="n">
        <x:v>4</x:v>
      </x:c>
      <x:c r="J168" s="10" t="str">
        <x:v>Mets team total Over 2.5 runs</x:v>
      </x:c>
      <x:c r="K168" s="9" t="str">
        <x:v>Mets TT Over 2.5</x:v>
      </x:c>
      <x:c r="L168" s="23" t="n">
        <x:v>0.63</x:v>
      </x:c>
      <x:c r="M168" s="9" t="str">
        <x:v>W</x:v>
      </x:c>
      <x:c r="N168" s="9" t="n">
        <x:f>IF(M168="W",1,IF(M168="L",0,""))</x:f>
        <x:v>1</x:v>
      </x:c>
      <x:c r="O168" s="24" t="n">
        <x:f>IF(OR(M168="W",M168="L"),(L168-N168)^2,"")</x:f>
        <x:v>0.1369</x:v>
      </x:c>
      <x:c r="P168" s="9" t="str">
        <x:v>NO</x:v>
      </x:c>
      <x:c r="Q168" s="9" t="str">
        <x:v>60-69</x:v>
      </x:c>
      <x:c r="R168" s="9" t="str">
        <x:v>NO</x:v>
      </x:c>
      <x:c r="S168" s="10" t="str">
        <x:v>MLB Stats API schedule gamePk 824503; CBS/AP recap 2026-06-18</x:v>
      </x:c>
      <x:c r="T168" s="10" t="str">
        <x:f>IF(IFERROR(ISNUMBER(SEARCH("http",S168)),FALSE),"YES","NO")</x:f>
        <x:v>NO</x:v>
      </x:c>
      <x:c r="U168" s="10" t="str">
        <x:v>NO</x:v>
      </x:c>
      <x:c r="V168" s="10" t="str">
        <x:v>NO</x:v>
      </x:c>
      <x:c r="W168" s="10" t="str">
        <x:v>LEGACY_UNVERIFIED_SNAPSHOT: no immutable cutoff/model/source packet</x:v>
      </x:c>
      <x:c r="X168" s="10" t="str">
        <x:v>projection_error; rank_error</x:v>
      </x:c>
    </x:row>
    <x:row r="169">
      <x:c r="A169" s="9" t="n">
        <x:v>165</x:v>
      </x:c>
      <x:c r="B169" s="9" t="str">
        <x:v>SOC-20260618-POR-DRC</x:v>
      </x:c>
      <x:c r="C169" s="25" t="str">
        <x:v>2026-06-18</x:v>
      </x:c>
      <x:c r="D169" s="9" t="str">
        <x:v>Soccer</x:v>
      </x:c>
      <x:c r="E169" s="9" t="str">
        <x:v>Soccer</x:v>
      </x:c>
      <x:c r="F169" s="10" t="str">
        <x:v>Portugal vs DR Congo</x:v>
      </x:c>
      <x:c r="G169" s="10" t="str">
        <x:v>FIFA World Cup 2026 Group K</x:v>
      </x:c>
      <x:c r="H169" s="10" t="str">
        <x:v>Portugal O0.5 team goals, DRC U1.5 team goals, Portugal/draw, full under 4.5</x:v>
      </x:c>
      <x:c r="I169" s="9" t="n">
        <x:v>1</x:v>
      </x:c>
      <x:c r="J169" s="10" t="str">
        <x:v>Portugal team total Over 0.5 goals</x:v>
      </x:c>
      <x:c r="K169" s="9" t="str">
        <x:v>Portugal O0.5 goals</x:v>
      </x:c>
      <x:c r="L169" s="23" t="n">
        <x:v>0.82</x:v>
      </x:c>
      <x:c r="M169" s="9" t="str">
        <x:v>W</x:v>
      </x:c>
      <x:c r="N169" s="9" t="n">
        <x:f>IF(M169="W",1,IF(M169="L",0,""))</x:f>
        <x:v>1</x:v>
      </x:c>
      <x:c r="O169" s="24" t="n">
        <x:f>IF(OR(M169="W",M169="L"),(L169-N169)^2,"")</x:f>
        <x:v>0.03240000000000002</x:v>
      </x:c>
      <x:c r="P169" s="9" t="str">
        <x:v>NO</x:v>
      </x:c>
      <x:c r="Q169" s="9" t="str">
        <x:v>80-89</x:v>
      </x:c>
      <x:c r="R169" s="9" t="str">
        <x:v>NO</x:v>
      </x:c>
      <x:c r="S169" s="10" t="str">
        <x:v>Guardian live report 2026-06-18; ESPN final score cross-check</x:v>
      </x:c>
      <x:c r="T169" s="10" t="str">
        <x:f>IF(IFERROR(ISNUMBER(SEARCH("http",S169)),FALSE),"YES","NO")</x:f>
        <x:v>NO</x:v>
      </x:c>
      <x:c r="U169" s="10" t="str">
        <x:v>NO</x:v>
      </x:c>
      <x:c r="V169" s="10" t="str">
        <x:v>NO</x:v>
      </x:c>
      <x:c r="W169" s="10" t="str">
        <x:v>LEGACY_UNVERIFIED_SNAPSHOT: no immutable cutoff/model/source packet</x:v>
      </x:c>
      <x:c r="X169" s="10" t="str">
        <x:v>legacy schema only</x:v>
      </x:c>
    </x:row>
    <x:row r="170">
      <x:c r="A170" s="9" t="n">
        <x:v>166</x:v>
      </x:c>
      <x:c r="B170" s="9" t="str">
        <x:v>SOC-20260618-POR-DRC</x:v>
      </x:c>
      <x:c r="C170" s="25" t="str">
        <x:v>2026-06-18</x:v>
      </x:c>
      <x:c r="D170" s="9" t="str">
        <x:v>Soccer</x:v>
      </x:c>
      <x:c r="E170" s="9" t="str">
        <x:v>Soccer</x:v>
      </x:c>
      <x:c r="F170" s="10" t="str">
        <x:v>Portugal vs DR Congo</x:v>
      </x:c>
      <x:c r="G170" s="10" t="str">
        <x:v>FIFA World Cup 2026 Group K</x:v>
      </x:c>
      <x:c r="H170" s="10" t="str">
        <x:v>Portugal O0.5 team goals, DRC U1.5 team goals, Portugal/draw, full under 4.5</x:v>
      </x:c>
      <x:c r="I170" s="9" t="n">
        <x:v>2</x:v>
      </x:c>
      <x:c r="J170" s="10" t="str">
        <x:v>DR Congo team total Under 1.5 goals</x:v>
      </x:c>
      <x:c r="K170" s="9" t="str">
        <x:v>DRC U1.5 goals</x:v>
      </x:c>
      <x:c r="L170" s="23" t="n">
        <x:v>0.78</x:v>
      </x:c>
      <x:c r="M170" s="9" t="str">
        <x:v>W</x:v>
      </x:c>
      <x:c r="N170" s="9" t="n">
        <x:f>IF(M170="W",1,IF(M170="L",0,""))</x:f>
        <x:v>1</x:v>
      </x:c>
      <x:c r="O170" s="24" t="n">
        <x:f>IF(OR(M170="W",M170="L"),(L170-N170)^2,"")</x:f>
        <x:v>0.04839999999999999</x:v>
      </x:c>
      <x:c r="P170" s="9" t="str">
        <x:v>NO</x:v>
      </x:c>
      <x:c r="Q170" s="9" t="str">
        <x:v>70-79</x:v>
      </x:c>
      <x:c r="R170" s="9" t="str">
        <x:v>NO</x:v>
      </x:c>
      <x:c r="S170" s="10" t="str">
        <x:v>Guardian live report 2026-06-18; ESPN final score cross-check</x:v>
      </x:c>
      <x:c r="T170" s="10" t="str">
        <x:f>IF(IFERROR(ISNUMBER(SEARCH("http",S170)),FALSE),"YES","NO")</x:f>
        <x:v>NO</x:v>
      </x:c>
      <x:c r="U170" s="10" t="str">
        <x:v>NO</x:v>
      </x:c>
      <x:c r="V170" s="10" t="str">
        <x:v>NO</x:v>
      </x:c>
      <x:c r="W170" s="10" t="str">
        <x:v>LEGACY_UNVERIFIED_SNAPSHOT: no immutable cutoff/model/source packet</x:v>
      </x:c>
      <x:c r="X170" s="10" t="str">
        <x:v>legacy schema only</x:v>
      </x:c>
    </x:row>
    <x:row r="171">
      <x:c r="A171" s="9" t="n">
        <x:v>167</x:v>
      </x:c>
      <x:c r="B171" s="9" t="str">
        <x:v>SOC-20260618-POR-DRC</x:v>
      </x:c>
      <x:c r="C171" s="25" t="str">
        <x:v>2026-06-18</x:v>
      </x:c>
      <x:c r="D171" s="9" t="str">
        <x:v>Soccer</x:v>
      </x:c>
      <x:c r="E171" s="9" t="str">
        <x:v>Soccer</x:v>
      </x:c>
      <x:c r="F171" s="10" t="str">
        <x:v>Portugal vs DR Congo</x:v>
      </x:c>
      <x:c r="G171" s="10" t="str">
        <x:v>FIFA World Cup 2026 Group K</x:v>
      </x:c>
      <x:c r="H171" s="10" t="str">
        <x:v>Portugal O0.5 team goals, DRC U1.5 team goals, Portugal/draw, full under 4.5</x:v>
      </x:c>
      <x:c r="I171" s="9" t="n">
        <x:v>3</x:v>
      </x:c>
      <x:c r="J171" s="10" t="str">
        <x:v>Portugal or Draw / Portugal double chance</x:v>
      </x:c>
      <x:c r="K171" s="9" t="str">
        <x:v>Portugal or draw</x:v>
      </x:c>
      <x:c r="L171" s="23" t="n">
        <x:v>0.76</x:v>
      </x:c>
      <x:c r="M171" s="9" t="str">
        <x:v>W</x:v>
      </x:c>
      <x:c r="N171" s="9" t="n">
        <x:f>IF(M171="W",1,IF(M171="L",0,""))</x:f>
        <x:v>1</x:v>
      </x:c>
      <x:c r="O171" s="24" t="n">
        <x:f>IF(OR(M171="W",M171="L"),(L171-N171)^2,"")</x:f>
        <x:v>0.0576</x:v>
      </x:c>
      <x:c r="P171" s="9" t="str">
        <x:v>NO</x:v>
      </x:c>
      <x:c r="Q171" s="9" t="str">
        <x:v>70-79</x:v>
      </x:c>
      <x:c r="R171" s="9" t="str">
        <x:v>NO</x:v>
      </x:c>
      <x:c r="S171" s="10" t="str">
        <x:v>Guardian live report 2026-06-18; ESPN final score cross-check</x:v>
      </x:c>
      <x:c r="T171" s="10" t="str">
        <x:f>IF(IFERROR(ISNUMBER(SEARCH("http",S171)),FALSE),"YES","NO")</x:f>
        <x:v>NO</x:v>
      </x:c>
      <x:c r="U171" s="10" t="str">
        <x:v>NO</x:v>
      </x:c>
      <x:c r="V171" s="10" t="str">
        <x:v>NO</x:v>
      </x:c>
      <x:c r="W171" s="10" t="str">
        <x:v>LEGACY_UNVERIFIED_SNAPSHOT: no immutable cutoff/model/source packet</x:v>
      </x:c>
      <x:c r="X171" s="10" t="str">
        <x:v>legacy schema only</x:v>
      </x:c>
    </x:row>
    <x:row r="172">
      <x:c r="A172" s="9" t="n">
        <x:v>168</x:v>
      </x:c>
      <x:c r="B172" s="9" t="str">
        <x:v>SOC-20260618-POR-DRC</x:v>
      </x:c>
      <x:c r="C172" s="25" t="str">
        <x:v>2026-06-18</x:v>
      </x:c>
      <x:c r="D172" s="9" t="str">
        <x:v>Soccer</x:v>
      </x:c>
      <x:c r="E172" s="9" t="str">
        <x:v>Soccer</x:v>
      </x:c>
      <x:c r="F172" s="10" t="str">
        <x:v>Portugal vs DR Congo</x:v>
      </x:c>
      <x:c r="G172" s="10" t="str">
        <x:v>FIFA World Cup 2026 Group K</x:v>
      </x:c>
      <x:c r="H172" s="10" t="str">
        <x:v>Portugal O0.5 team goals, DRC U1.5 team goals, Portugal/draw, full under 4.5</x:v>
      </x:c>
      <x:c r="I172" s="9" t="n">
        <x:v>4</x:v>
      </x:c>
      <x:c r="J172" s="10" t="str">
        <x:v>Combined Final Total Under 4.5 goals</x:v>
      </x:c>
      <x:c r="K172" s="9" t="str">
        <x:v>Under 4.5</x:v>
      </x:c>
      <x:c r="L172" s="23" t="n">
        <x:v>0.7</x:v>
      </x:c>
      <x:c r="M172" s="9" t="str">
        <x:v>W</x:v>
      </x:c>
      <x:c r="N172" s="9" t="n">
        <x:f>IF(M172="W",1,IF(M172="L",0,""))</x:f>
        <x:v>1</x:v>
      </x:c>
      <x:c r="O172" s="24" t="n">
        <x:f>IF(OR(M172="W",M172="L"),(L172-N172)^2,"")</x:f>
        <x:v>0.09000000000000002</x:v>
      </x:c>
      <x:c r="P172" s="9" t="str">
        <x:v>NO</x:v>
      </x:c>
      <x:c r="Q172" s="9" t="str">
        <x:v>70-79</x:v>
      </x:c>
      <x:c r="R172" s="9" t="str">
        <x:v>NO</x:v>
      </x:c>
      <x:c r="S172" s="10" t="str">
        <x:v>Guardian live report 2026-06-18; ESPN final score cross-check</x:v>
      </x:c>
      <x:c r="T172" s="10" t="str">
        <x:f>IF(IFERROR(ISNUMBER(SEARCH("http",S172)),FALSE),"YES","NO")</x:f>
        <x:v>NO</x:v>
      </x:c>
      <x:c r="U172" s="10" t="str">
        <x:v>NO</x:v>
      </x:c>
      <x:c r="V172" s="10" t="str">
        <x:v>NO</x:v>
      </x:c>
      <x:c r="W172" s="10" t="str">
        <x:v>LEGACY_UNVERIFIED_SNAPSHOT: no immutable cutoff/model/source packet</x:v>
      </x:c>
      <x:c r="X172" s="10" t="str">
        <x:v>legacy schema only</x:v>
      </x:c>
    </x:row>
    <x:row r="173">
      <x:c r="A173" s="9" t="n">
        <x:v>169</x:v>
      </x:c>
      <x:c r="B173" s="9" t="str">
        <x:v>MLB-20260618-TB-LAD</x:v>
      </x:c>
      <x:c r="C173" s="25" t="str">
        <x:v>2026-06-18</x:v>
      </x:c>
      <x:c r="D173" s="9" t="str">
        <x:v>Baseball</x:v>
      </x:c>
      <x:c r="E173" s="9" t="str">
        <x:v>Baseball</x:v>
      </x:c>
      <x:c r="F173" s="10" t="str">
        <x:v>Tampa Bay Rays @ Los Angeles Dodgers</x:v>
      </x:c>
      <x:c r="G173" s="10" t="str">
        <x:v>MLB regular season</x:v>
      </x:c>
      <x:c r="H173" s="10" t="str">
        <x:v>Dodgers +1.5, full under 9.5, Rays TT under 4.5, Ohtani 4+ K</x:v>
      </x:c>
      <x:c r="I173" s="9" t="n">
        <x:v>1</x:v>
      </x:c>
      <x:c r="J173" s="10" t="str">
        <x:v>Dodgers +1.5 runs</x:v>
      </x:c>
      <x:c r="K173" s="9" t="str">
        <x:v>Dodgers +1.5</x:v>
      </x:c>
      <x:c r="L173" s="23" t="n">
        <x:v>0.74</x:v>
      </x:c>
      <x:c r="M173" s="9" t="str">
        <x:v>W</x:v>
      </x:c>
      <x:c r="N173" s="9" t="n">
        <x:f>IF(M173="W",1,IF(M173="L",0,""))</x:f>
        <x:v>1</x:v>
      </x:c>
      <x:c r="O173" s="24" t="n">
        <x:f>IF(OR(M173="W",M173="L"),(L173-N173)^2,"")</x:f>
        <x:v>0.06760000000000001</x:v>
      </x:c>
      <x:c r="P173" s="9" t="str">
        <x:v>NO</x:v>
      </x:c>
      <x:c r="Q173" s="9" t="str">
        <x:v>70-79</x:v>
      </x:c>
      <x:c r="R173" s="9" t="str">
        <x:v>NO</x:v>
      </x:c>
      <x:c r="S173" s="10" t="str">
        <x:v>MLB Stats API schedule/game feed gamePk 823940; CBS/AP recap 2026-06-18</x:v>
      </x:c>
      <x:c r="T173" s="10" t="str">
        <x:f>IF(IFERROR(ISNUMBER(SEARCH("http",S173)),FALSE),"YES","NO")</x:f>
        <x:v>NO</x:v>
      </x:c>
      <x:c r="U173" s="10" t="str">
        <x:v>NO</x:v>
      </x:c>
      <x:c r="V173" s="10" t="str">
        <x:v>NO</x:v>
      </x:c>
      <x:c r="W173" s="10" t="str">
        <x:v>LEGACY_UNVERIFIED_SNAPSHOT: no immutable cutoff/model/source packet</x:v>
      </x:c>
      <x:c r="X173" s="10" t="str">
        <x:v>legacy schema only</x:v>
      </x:c>
    </x:row>
    <x:row r="174">
      <x:c r="A174" s="9" t="n">
        <x:v>170</x:v>
      </x:c>
      <x:c r="B174" s="9" t="str">
        <x:v>MLB-20260618-TB-LAD</x:v>
      </x:c>
      <x:c r="C174" s="25" t="str">
        <x:v>2026-06-18</x:v>
      </x:c>
      <x:c r="D174" s="9" t="str">
        <x:v>Baseball</x:v>
      </x:c>
      <x:c r="E174" s="9" t="str">
        <x:v>Baseball</x:v>
      </x:c>
      <x:c r="F174" s="10" t="str">
        <x:v>Tampa Bay Rays @ Los Angeles Dodgers</x:v>
      </x:c>
      <x:c r="G174" s="10" t="str">
        <x:v>MLB regular season</x:v>
      </x:c>
      <x:c r="H174" s="10" t="str">
        <x:v>Dodgers +1.5, full under 9.5, Rays TT under 4.5, Ohtani 4+ K</x:v>
      </x:c>
      <x:c r="I174" s="9" t="n">
        <x:v>2</x:v>
      </x:c>
      <x:c r="J174" s="10" t="str">
        <x:v>Combined Final Total Under 9.5 runs</x:v>
      </x:c>
      <x:c r="K174" s="9" t="str">
        <x:v>Under 9.5</x:v>
      </x:c>
      <x:c r="L174" s="23" t="n">
        <x:v>0.68</x:v>
      </x:c>
      <x:c r="M174" s="9" t="str">
        <x:v>W</x:v>
      </x:c>
      <x:c r="N174" s="9" t="n">
        <x:f>IF(M174="W",1,IF(M174="L",0,""))</x:f>
        <x:v>1</x:v>
      </x:c>
      <x:c r="O174" s="24" t="n">
        <x:f>IF(OR(M174="W",M174="L"),(L174-N174)^2,"")</x:f>
        <x:v>0.10239999999999996</x:v>
      </x:c>
      <x:c r="P174" s="9" t="str">
        <x:v>NO</x:v>
      </x:c>
      <x:c r="Q174" s="9" t="str">
        <x:v>60-69</x:v>
      </x:c>
      <x:c r="R174" s="9" t="str">
        <x:v>NO</x:v>
      </x:c>
      <x:c r="S174" s="10" t="str">
        <x:v>MLB Stats API schedule/game feed gamePk 823940; CBS/AP recap 2026-06-18</x:v>
      </x:c>
      <x:c r="T174" s="10" t="str">
        <x:f>IF(IFERROR(ISNUMBER(SEARCH("http",S174)),FALSE),"YES","NO")</x:f>
        <x:v>NO</x:v>
      </x:c>
      <x:c r="U174" s="10" t="str">
        <x:v>NO</x:v>
      </x:c>
      <x:c r="V174" s="10" t="str">
        <x:v>NO</x:v>
      </x:c>
      <x:c r="W174" s="10" t="str">
        <x:v>LEGACY_UNVERIFIED_SNAPSHOT: no immutable cutoff/model/source packet</x:v>
      </x:c>
      <x:c r="X174" s="10" t="str">
        <x:v>legacy schema only</x:v>
      </x:c>
    </x:row>
    <x:row r="175">
      <x:c r="A175" s="9" t="n">
        <x:v>171</x:v>
      </x:c>
      <x:c r="B175" s="9" t="str">
        <x:v>MLB-20260618-TB-LAD</x:v>
      </x:c>
      <x:c r="C175" s="25" t="str">
        <x:v>2026-06-18</x:v>
      </x:c>
      <x:c r="D175" s="9" t="str">
        <x:v>Baseball</x:v>
      </x:c>
      <x:c r="E175" s="9" t="str">
        <x:v>Baseball</x:v>
      </x:c>
      <x:c r="F175" s="10" t="str">
        <x:v>Tampa Bay Rays @ Los Angeles Dodgers</x:v>
      </x:c>
      <x:c r="G175" s="10" t="str">
        <x:v>MLB regular season</x:v>
      </x:c>
      <x:c r="H175" s="10" t="str">
        <x:v>Dodgers +1.5, full under 9.5, Rays TT under 4.5, Ohtani 4+ K</x:v>
      </x:c>
      <x:c r="I175" s="9" t="n">
        <x:v>3</x:v>
      </x:c>
      <x:c r="J175" s="10" t="str">
        <x:v>Rays team total Under 4.5 runs</x:v>
      </x:c>
      <x:c r="K175" s="9" t="str">
        <x:v>Rays TT Under 4.5</x:v>
      </x:c>
      <x:c r="L175" s="23" t="n">
        <x:v>0.66</x:v>
      </x:c>
      <x:c r="M175" s="9" t="str">
        <x:v>W</x:v>
      </x:c>
      <x:c r="N175" s="9" t="n">
        <x:f>IF(M175="W",1,IF(M175="L",0,""))</x:f>
        <x:v>1</x:v>
      </x:c>
      <x:c r="O175" s="24" t="n">
        <x:f>IF(OR(M175="W",M175="L"),(L175-N175)^2,"")</x:f>
        <x:v>0.11559999999999998</x:v>
      </x:c>
      <x:c r="P175" s="9" t="str">
        <x:v>NO</x:v>
      </x:c>
      <x:c r="Q175" s="9" t="str">
        <x:v>60-69</x:v>
      </x:c>
      <x:c r="R175" s="9" t="str">
        <x:v>NO</x:v>
      </x:c>
      <x:c r="S175" s="10" t="str">
        <x:v>MLB Stats API schedule/game feed gamePk 823940; CBS/AP recap 2026-06-18</x:v>
      </x:c>
      <x:c r="T175" s="10" t="str">
        <x:f>IF(IFERROR(ISNUMBER(SEARCH("http",S175)),FALSE),"YES","NO")</x:f>
        <x:v>NO</x:v>
      </x:c>
      <x:c r="U175" s="10" t="str">
        <x:v>NO</x:v>
      </x:c>
      <x:c r="V175" s="10" t="str">
        <x:v>NO</x:v>
      </x:c>
      <x:c r="W175" s="10" t="str">
        <x:v>LEGACY_UNVERIFIED_SNAPSHOT: no immutable cutoff/model/source packet</x:v>
      </x:c>
      <x:c r="X175" s="10" t="str">
        <x:v>legacy schema only</x:v>
      </x:c>
    </x:row>
    <x:row r="176">
      <x:c r="A176" s="9" t="n">
        <x:v>172</x:v>
      </x:c>
      <x:c r="B176" s="9" t="str">
        <x:v>MLB-20260618-TB-LAD</x:v>
      </x:c>
      <x:c r="C176" s="25" t="str">
        <x:v>2026-06-18</x:v>
      </x:c>
      <x:c r="D176" s="9" t="str">
        <x:v>Baseball</x:v>
      </x:c>
      <x:c r="E176" s="9" t="str">
        <x:v>Baseball</x:v>
      </x:c>
      <x:c r="F176" s="10" t="str">
        <x:v>Tampa Bay Rays @ Los Angeles Dodgers</x:v>
      </x:c>
      <x:c r="G176" s="10" t="str">
        <x:v>MLB regular season</x:v>
      </x:c>
      <x:c r="H176" s="10" t="str">
        <x:v>Dodgers +1.5, full under 9.5, Rays TT under 4.5, Ohtani 4+ K</x:v>
      </x:c>
      <x:c r="I176" s="9" t="n">
        <x:v>4</x:v>
      </x:c>
      <x:c r="J176" s="10" t="str">
        <x:v>Shohei Ohtani 4+ strikeouts</x:v>
      </x:c>
      <x:c r="K176" s="9" t="str">
        <x:v>Ohtani 4+ K</x:v>
      </x:c>
      <x:c r="L176" s="23" t="n">
        <x:v>0.62</x:v>
      </x:c>
      <x:c r="M176" s="9" t="str">
        <x:v>W</x:v>
      </x:c>
      <x:c r="N176" s="9" t="n">
        <x:f>IF(M176="W",1,IF(M176="L",0,""))</x:f>
        <x:v>1</x:v>
      </x:c>
      <x:c r="O176" s="24" t="n">
        <x:f>IF(OR(M176="W",M176="L"),(L176-N176)^2,"")</x:f>
        <x:v>0.1444</x:v>
      </x:c>
      <x:c r="P176" s="9" t="str">
        <x:v>NO</x:v>
      </x:c>
      <x:c r="Q176" s="9" t="str">
        <x:v>60-69</x:v>
      </x:c>
      <x:c r="R176" s="9" t="str">
        <x:v>NO</x:v>
      </x:c>
      <x:c r="S176" s="10" t="str">
        <x:v>MLB Stats API schedule/game feed gamePk 823940; CBS/AP recap 2026-06-18</x:v>
      </x:c>
      <x:c r="T176" s="10" t="str">
        <x:f>IF(IFERROR(ISNUMBER(SEARCH("http",S176)),FALSE),"YES","NO")</x:f>
        <x:v>NO</x:v>
      </x:c>
      <x:c r="U176" s="10" t="str">
        <x:v>NO</x:v>
      </x:c>
      <x:c r="V176" s="10" t="str">
        <x:v>NO</x:v>
      </x:c>
      <x:c r="W176" s="10" t="str">
        <x:v>LEGACY_UNVERIFIED_SNAPSHOT: no immutable cutoff/model/source packet</x:v>
      </x:c>
      <x:c r="X176" s="10" t="str">
        <x:v>legacy schema only</x:v>
      </x:c>
    </x:row>
    <x:row r="177">
      <x:c r="A177" s="9" t="n">
        <x:v>173</x:v>
      </x:c>
      <x:c r="B177" s="9" t="str">
        <x:v>CRIC-20260617-ENGW-IREW</x:v>
      </x:c>
      <x:c r="C177" s="25" t="str">
        <x:v>2026-06-17</x:v>
      </x:c>
      <x:c r="D177" s="9" t="str">
        <x:v>Cricket</x:v>
      </x:c>
      <x:c r="E177" s="9" t="str">
        <x:v>Cricket</x:v>
      </x:c>
      <x:c r="F177" s="10" t="str">
        <x:v>England Women vs Ireland Women</x:v>
      </x:c>
      <x:c r="G177" s="10" t="str">
        <x:v>ICC Women's T20 World Cup Group B</x:v>
      </x:c>
      <x:c r="H177" s="10" t="str">
        <x:v>Self-selected four-leg parlay</x:v>
      </x:c>
      <x:c r="I177" s="9" t="n">
        <x:v>1</x:v>
      </x:c>
      <x:c r="J177" s="10" t="str">
        <x:v>England Women to win</x:v>
      </x:c>
      <x:c r="K177" s="9" t="str">
        <x:v>England win</x:v>
      </x:c>
      <x:c r="L177" s="23" t="n">
        <x:v>0.83</x:v>
      </x:c>
      <x:c r="M177" s="9" t="str">
        <x:v>W</x:v>
      </x:c>
      <x:c r="N177" s="9" t="n">
        <x:f>IF(M177="W",1,IF(M177="L",0,""))</x:f>
        <x:v>1</x:v>
      </x:c>
      <x:c r="O177" s="24" t="n">
        <x:f>IF(OR(M177="W",M177="L"),(L177-N177)^2,"")</x:f>
        <x:v>0.028900000000000012</x:v>
      </x:c>
      <x:c r="P177" s="9" t="str">
        <x:v>NO</x:v>
      </x:c>
      <x:c r="Q177" s="9" t="str">
        <x:v>80-89</x:v>
      </x:c>
      <x:c r="R177" s="9" t="str">
        <x:v>NO</x:v>
      </x:c>
      <x:c r="S177" s="10" t="str">
        <x:v>Cricbuzz scorecard/commentary 2026-06-18; Guardian/Sky cross-check</x:v>
      </x:c>
      <x:c r="T177" s="10" t="str">
        <x:f>IF(IFERROR(ISNUMBER(SEARCH("http",S177)),FALSE),"YES","NO")</x:f>
        <x:v>NO</x:v>
      </x:c>
      <x:c r="U177" s="10" t="str">
        <x:v>NO</x:v>
      </x:c>
      <x:c r="V177" s="10" t="str">
        <x:v>NO</x:v>
      </x:c>
      <x:c r="W177" s="10" t="str">
        <x:v>LEGACY_UNVERIFIED_SNAPSHOT: no immutable cutoff/model/source packet</x:v>
      </x:c>
      <x:c r="X177" s="10" t="str">
        <x:v>legacy schema only</x:v>
      </x:c>
    </x:row>
    <x:row r="178">
      <x:c r="A178" s="9" t="n">
        <x:v>174</x:v>
      </x:c>
      <x:c r="B178" s="9" t="str">
        <x:v>CRIC-20260617-ENGW-IREW</x:v>
      </x:c>
      <x:c r="C178" s="25" t="str">
        <x:v>2026-06-17</x:v>
      </x:c>
      <x:c r="D178" s="9" t="str">
        <x:v>Cricket</x:v>
      </x:c>
      <x:c r="E178" s="9" t="str">
        <x:v>Cricket</x:v>
      </x:c>
      <x:c r="F178" s="10" t="str">
        <x:v>England Women vs Ireland Women</x:v>
      </x:c>
      <x:c r="G178" s="10" t="str">
        <x:v>ICC Women's T20 World Cup Group B</x:v>
      </x:c>
      <x:c r="H178" s="10" t="str">
        <x:v>Self-selected four-leg parlay</x:v>
      </x:c>
      <x:c r="I178" s="9" t="n">
        <x:v>2</x:v>
      </x:c>
      <x:c r="J178" s="10" t="str">
        <x:v>Ireland Women team total Under 159.5 runs</x:v>
      </x:c>
      <x:c r="K178" s="9" t="str">
        <x:v>Under 159.5</x:v>
      </x:c>
      <x:c r="L178" s="23" t="n">
        <x:v>0.74</x:v>
      </x:c>
      <x:c r="M178" s="9" t="str">
        <x:v>W</x:v>
      </x:c>
      <x:c r="N178" s="9" t="n">
        <x:f>IF(M178="W",1,IF(M178="L",0,""))</x:f>
        <x:v>1</x:v>
      </x:c>
      <x:c r="O178" s="24" t="n">
        <x:f>IF(OR(M178="W",M178="L"),(L178-N178)^2,"")</x:f>
        <x:v>0.06760000000000001</x:v>
      </x:c>
      <x:c r="P178" s="9" t="str">
        <x:v>NO</x:v>
      </x:c>
      <x:c r="Q178" s="9" t="str">
        <x:v>70-79</x:v>
      </x:c>
      <x:c r="R178" s="9" t="str">
        <x:v>NO</x:v>
      </x:c>
      <x:c r="S178" s="10" t="str">
        <x:v>Cricbuzz scorecard/commentary 2026-06-18; Guardian/Sky cross-check</x:v>
      </x:c>
      <x:c r="T178" s="10" t="str">
        <x:f>IF(IFERROR(ISNUMBER(SEARCH("http",S178)),FALSE),"YES","NO")</x:f>
        <x:v>NO</x:v>
      </x:c>
      <x:c r="U178" s="10" t="str">
        <x:v>NO</x:v>
      </x:c>
      <x:c r="V178" s="10" t="str">
        <x:v>NO</x:v>
      </x:c>
      <x:c r="W178" s="10" t="str">
        <x:v>LEGACY_UNVERIFIED_SNAPSHOT: no immutable cutoff/model/source packet</x:v>
      </x:c>
      <x:c r="X178" s="10" t="str">
        <x:v>legacy schema only</x:v>
      </x:c>
    </x:row>
    <x:row r="179">
      <x:c r="A179" s="9" t="n">
        <x:v>175</x:v>
      </x:c>
      <x:c r="B179" s="9" t="str">
        <x:v>CRIC-20260617-ENGW-IREW</x:v>
      </x:c>
      <x:c r="C179" s="25" t="str">
        <x:v>2026-06-17</x:v>
      </x:c>
      <x:c r="D179" s="9" t="str">
        <x:v>Cricket</x:v>
      </x:c>
      <x:c r="E179" s="9" t="str">
        <x:v>Cricket</x:v>
      </x:c>
      <x:c r="F179" s="10" t="str">
        <x:v>England Women vs Ireland Women</x:v>
      </x:c>
      <x:c r="G179" s="10" t="str">
        <x:v>ICC Women's T20 World Cup Group B</x:v>
      </x:c>
      <x:c r="H179" s="10" t="str">
        <x:v>Self-selected four-leg parlay</x:v>
      </x:c>
      <x:c r="I179" s="9" t="n">
        <x:v>3</x:v>
      </x:c>
      <x:c r="J179" s="10" t="str">
        <x:v>England Women to take Over 4.5 wickets / Ireland lose 5+ wickets</x:v>
      </x:c>
      <x:c r="K179" s="9" t="str">
        <x:v>Over 4.5 wickets</x:v>
      </x:c>
      <x:c r="L179" s="23" t="n">
        <x:v>0.69</x:v>
      </x:c>
      <x:c r="M179" s="9" t="str">
        <x:v>W</x:v>
      </x:c>
      <x:c r="N179" s="9" t="n">
        <x:f>IF(M179="W",1,IF(M179="L",0,""))</x:f>
        <x:v>1</x:v>
      </x:c>
      <x:c r="O179" s="24" t="n">
        <x:f>IF(OR(M179="W",M179="L"),(L179-N179)^2,"")</x:f>
        <x:v>0.09610000000000003</x:v>
      </x:c>
      <x:c r="P179" s="9" t="str">
        <x:v>NO</x:v>
      </x:c>
      <x:c r="Q179" s="9" t="str">
        <x:v>60-69</x:v>
      </x:c>
      <x:c r="R179" s="9" t="str">
        <x:v>NO</x:v>
      </x:c>
      <x:c r="S179" s="10" t="str">
        <x:v>Cricbuzz scorecard/commentary 2026-06-18; Guardian/Sky cross-check</x:v>
      </x:c>
      <x:c r="T179" s="10" t="str">
        <x:f>IF(IFERROR(ISNUMBER(SEARCH("http",S179)),FALSE),"YES","NO")</x:f>
        <x:v>NO</x:v>
      </x:c>
      <x:c r="U179" s="10" t="str">
        <x:v>NO</x:v>
      </x:c>
      <x:c r="V179" s="10" t="str">
        <x:v>NO</x:v>
      </x:c>
      <x:c r="W179" s="10" t="str">
        <x:v>LEGACY_UNVERIFIED_SNAPSHOT: no immutable cutoff/model/source packet</x:v>
      </x:c>
      <x:c r="X179" s="10" t="str">
        <x:v>legacy schema only</x:v>
      </x:c>
    </x:row>
    <x:row r="180">
      <x:c r="A180" s="9" t="n">
        <x:v>176</x:v>
      </x:c>
      <x:c r="B180" s="9" t="str">
        <x:v>CRIC-20260617-ENGW-IREW</x:v>
      </x:c>
      <x:c r="C180" s="25" t="str">
        <x:v>2026-06-17</x:v>
      </x:c>
      <x:c r="D180" s="9" t="str">
        <x:v>Cricket</x:v>
      </x:c>
      <x:c r="E180" s="9" t="str">
        <x:v>Cricket</x:v>
      </x:c>
      <x:c r="F180" s="10" t="str">
        <x:v>England Women vs Ireland Women</x:v>
      </x:c>
      <x:c r="G180" s="10" t="str">
        <x:v>ICC Women's T20 World Cup Group B</x:v>
      </x:c>
      <x:c r="H180" s="10" t="str">
        <x:v>Self-selected four-leg parlay</x:v>
      </x:c>
      <x:c r="I180" s="9" t="n">
        <x:v>4</x:v>
      </x:c>
      <x:c r="J180" s="10" t="str">
        <x:v>Ireland first 6 overs Under 43.5 runs</x:v>
      </x:c>
      <x:c r="K180" s="9" t="str">
        <x:v>Under 43.5</x:v>
      </x:c>
      <x:c r="L180" s="23" t="n">
        <x:v>0.61</x:v>
      </x:c>
      <x:c r="M180" s="9" t="str">
        <x:v>W</x:v>
      </x:c>
      <x:c r="N180" s="9" t="n">
        <x:f>IF(M180="W",1,IF(M180="L",0,""))</x:f>
        <x:v>1</x:v>
      </x:c>
      <x:c r="O180" s="24" t="n">
        <x:f>IF(OR(M180="W",M180="L"),(L180-N180)^2,"")</x:f>
        <x:v>0.1521</x:v>
      </x:c>
      <x:c r="P180" s="9" t="str">
        <x:v>NO</x:v>
      </x:c>
      <x:c r="Q180" s="9" t="str">
        <x:v>60-69</x:v>
      </x:c>
      <x:c r="R180" s="9" t="str">
        <x:v>NO</x:v>
      </x:c>
      <x:c r="S180" s="10" t="str">
        <x:v>Cricbuzz scorecard/commentary 2026-06-18; Guardian/Sky cross-check</x:v>
      </x:c>
      <x:c r="T180" s="10" t="str">
        <x:f>IF(IFERROR(ISNUMBER(SEARCH("http",S180)),FALSE),"YES","NO")</x:f>
        <x:v>NO</x:v>
      </x:c>
      <x:c r="U180" s="10" t="str">
        <x:v>NO</x:v>
      </x:c>
      <x:c r="V180" s="10" t="str">
        <x:v>NO</x:v>
      </x:c>
      <x:c r="W180" s="10" t="str">
        <x:v>LEGACY_UNVERIFIED_SNAPSHOT: no immutable cutoff/model/source packet</x:v>
      </x:c>
      <x:c r="X180" s="10" t="str">
        <x:v>legacy schema only</x:v>
      </x:c>
    </x:row>
    <x:row r="181">
      <x:c r="A181" s="9" t="n">
        <x:v>177</x:v>
      </x:c>
      <x:c r="B181" s="9" t="str">
        <x:v>WNBA-20260618-NYL-CHI-LIVE</x:v>
      </x:c>
      <x:c r="C181" s="25" t="str">
        <x:v>2026-06-18</x:v>
      </x:c>
      <x:c r="D181" s="9" t="str">
        <x:v>Basketball</x:v>
      </x:c>
      <x:c r="E181" s="9" t="str">
        <x:v>Basketball</x:v>
      </x:c>
      <x:c r="F181" s="10" t="str">
        <x:v>New York Liberty @ Chicago Sky</x:v>
      </x:c>
      <x:c r="G181" s="10" t="str">
        <x:v>WNBA regular season / Commissioner's Cup</x:v>
      </x:c>
      <x:c r="H181" s="10" t="str">
        <x:v>Self-selected live ranked outcomes</x:v>
      </x:c>
      <x:c r="I181" s="9" t="n">
        <x:v>1</x:v>
      </x:c>
      <x:c r="J181" s="10" t="str">
        <x:v>Chicago Sky 80+ team points</x:v>
      </x:c>
      <x:c r="K181" s="9" t="str">
        <x:v>80+ team points</x:v>
      </x:c>
      <x:c r="L181" s="23" t="n">
        <x:v>0.78</x:v>
      </x:c>
      <x:c r="M181" s="9" t="str">
        <x:v>W</x:v>
      </x:c>
      <x:c r="N181" s="9" t="n">
        <x:f>IF(M181="W",1,IF(M181="L",0,""))</x:f>
        <x:v>1</x:v>
      </x:c>
      <x:c r="O181" s="24" t="n">
        <x:f>IF(OR(M181="W",M181="L"),(L181-N181)^2,"")</x:f>
        <x:v>0.04839999999999999</x:v>
      </x:c>
      <x:c r="P181" s="9" t="str">
        <x:v>NO</x:v>
      </x:c>
      <x:c r="Q181" s="9" t="str">
        <x:v>70-79</x:v>
      </x:c>
      <x:c r="R181" s="9" t="str">
        <x:v>NO</x:v>
      </x:c>
      <x:c r="S181" s="10" t="str">
        <x:v>ESPN WNBA API final summary event 401856997, checked 2026-06-18 AEST</x:v>
      </x:c>
      <x:c r="T181" s="10" t="str">
        <x:f>IF(IFERROR(ISNUMBER(SEARCH("http",S181)),FALSE),"YES","NO")</x:f>
        <x:v>NO</x:v>
      </x:c>
      <x:c r="U181" s="10" t="str">
        <x:v>NO</x:v>
      </x:c>
      <x:c r="V181" s="10" t="str">
        <x:v>NO</x:v>
      </x:c>
      <x:c r="W181" s="10" t="str">
        <x:v>LEGACY_UNVERIFIED_SNAPSHOT: no immutable cutoff/model/source packet</x:v>
      </x:c>
      <x:c r="X181" s="10" t="str">
        <x:v>legacy schema only</x:v>
      </x:c>
    </x:row>
    <x:row r="182">
      <x:c r="A182" s="9" t="n">
        <x:v>178</x:v>
      </x:c>
      <x:c r="B182" s="9" t="str">
        <x:v>WNBA-20260618-NYL-CHI-LIVE</x:v>
      </x:c>
      <x:c r="C182" s="25" t="str">
        <x:v>2026-06-18</x:v>
      </x:c>
      <x:c r="D182" s="9" t="str">
        <x:v>Basketball</x:v>
      </x:c>
      <x:c r="E182" s="9" t="str">
        <x:v>Basketball</x:v>
      </x:c>
      <x:c r="F182" s="10" t="str">
        <x:v>New York Liberty @ Chicago Sky</x:v>
      </x:c>
      <x:c r="G182" s="10" t="str">
        <x:v>WNBA regular season / Commissioner's Cup</x:v>
      </x:c>
      <x:c r="H182" s="10" t="str">
        <x:v>Self-selected live ranked outcomes</x:v>
      </x:c>
      <x:c r="I182" s="9" t="n">
        <x:v>2</x:v>
      </x:c>
      <x:c r="J182" s="10" t="str">
        <x:v>Breanna Stewart 12+ points</x:v>
      </x:c>
      <x:c r="K182" s="9" t="str">
        <x:v>12+ points</x:v>
      </x:c>
      <x:c r="L182" s="23" t="n">
        <x:v>0.68</x:v>
      </x:c>
      <x:c r="M182" s="9" t="str">
        <x:v>W</x:v>
      </x:c>
      <x:c r="N182" s="9" t="n">
        <x:f>IF(M182="W",1,IF(M182="L",0,""))</x:f>
        <x:v>1</x:v>
      </x:c>
      <x:c r="O182" s="24" t="n">
        <x:f>IF(OR(M182="W",M182="L"),(L182-N182)^2,"")</x:f>
        <x:v>0.10239999999999996</x:v>
      </x:c>
      <x:c r="P182" s="9" t="str">
        <x:v>NO</x:v>
      </x:c>
      <x:c r="Q182" s="9" t="str">
        <x:v>60-69</x:v>
      </x:c>
      <x:c r="R182" s="9" t="str">
        <x:v>NO</x:v>
      </x:c>
      <x:c r="S182" s="10" t="str">
        <x:v>ESPN WNBA API final summary event 401856997, checked 2026-06-18 AEST</x:v>
      </x:c>
      <x:c r="T182" s="10" t="str">
        <x:f>IF(IFERROR(ISNUMBER(SEARCH("http",S182)),FALSE),"YES","NO")</x:f>
        <x:v>NO</x:v>
      </x:c>
      <x:c r="U182" s="10" t="str">
        <x:v>NO</x:v>
      </x:c>
      <x:c r="V182" s="10" t="str">
        <x:v>NO</x:v>
      </x:c>
      <x:c r="W182" s="10" t="str">
        <x:v>LEGACY_UNVERIFIED_SNAPSHOT: no immutable cutoff/model/source packet</x:v>
      </x:c>
      <x:c r="X182" s="10" t="str">
        <x:v>legacy schema only</x:v>
      </x:c>
    </x:row>
    <x:row r="183">
      <x:c r="A183" s="9" t="n">
        <x:v>179</x:v>
      </x:c>
      <x:c r="B183" s="9" t="str">
        <x:v>WNBA-20260618-NYL-CHI-LIVE</x:v>
      </x:c>
      <x:c r="C183" s="25" t="str">
        <x:v>2026-06-18</x:v>
      </x:c>
      <x:c r="D183" s="9" t="str">
        <x:v>Basketball</x:v>
      </x:c>
      <x:c r="E183" s="9" t="str">
        <x:v>Basketball</x:v>
      </x:c>
      <x:c r="F183" s="10" t="str">
        <x:v>New York Liberty @ Chicago Sky</x:v>
      </x:c>
      <x:c r="G183" s="10" t="str">
        <x:v>WNBA regular season / Commissioner's Cup</x:v>
      </x:c>
      <x:c r="H183" s="10" t="str">
        <x:v>Self-selected live ranked outcomes</x:v>
      </x:c>
      <x:c r="I183" s="9" t="n">
        <x:v>3</x:v>
      </x:c>
      <x:c r="J183" s="10" t="str">
        <x:v>New York Liberty to win by 10+ points</x:v>
      </x:c>
      <x:c r="K183" s="9" t="str">
        <x:v>Liberty by 10+ points</x:v>
      </x:c>
      <x:c r="L183" s="23" t="n">
        <x:v>0.22</x:v>
      </x:c>
      <x:c r="M183" s="9" t="str">
        <x:v>L</x:v>
      </x:c>
      <x:c r="N183" s="9" t="n">
        <x:f>IF(M183="W",1,IF(M183="L",0,""))</x:f>
        <x:v>0</x:v>
      </x:c>
      <x:c r="O183" s="24" t="n">
        <x:f>IF(OR(M183="W",M183="L"),(L183-N183)^2,"")</x:f>
        <x:v>0.0484</x:v>
      </x:c>
      <x:c r="P183" s="9" t="str">
        <x:v>NO</x:v>
      </x:c>
      <x:c r="Q183" s="9" t="str">
        <x:v>20-29</x:v>
      </x:c>
      <x:c r="R183" s="9" t="str">
        <x:v>NO</x:v>
      </x:c>
      <x:c r="S183" s="10" t="str">
        <x:v>ESPN WNBA API final summary event 401856997, checked 2026-06-18 AEST</x:v>
      </x:c>
      <x:c r="T183" s="10" t="str">
        <x:f>IF(IFERROR(ISNUMBER(SEARCH("http",S183)),FALSE),"YES","NO")</x:f>
        <x:v>NO</x:v>
      </x:c>
      <x:c r="U183" s="10" t="str">
        <x:v>NO</x:v>
      </x:c>
      <x:c r="V183" s="10" t="str">
        <x:v>NO</x:v>
      </x:c>
      <x:c r="W183" s="10" t="str">
        <x:v>LEGACY_UNVERIFIED_SNAPSHOT: no immutable cutoff/model/source packet</x:v>
      </x:c>
      <x:c r="X183" s="10" t="str">
        <x:v>legacy schema only</x:v>
      </x:c>
    </x:row>
    <x:row r="184">
      <x:c r="A184" s="9" t="n">
        <x:v>180</x:v>
      </x:c>
      <x:c r="B184" s="9" t="str">
        <x:v>WNBA-20260618-NYL-CHI-LIVE</x:v>
      </x:c>
      <x:c r="C184" s="25" t="str">
        <x:v>2026-06-18</x:v>
      </x:c>
      <x:c r="D184" s="9" t="str">
        <x:v>Basketball</x:v>
      </x:c>
      <x:c r="E184" s="9" t="str">
        <x:v>Basketball</x:v>
      </x:c>
      <x:c r="F184" s="10" t="str">
        <x:v>New York Liberty @ Chicago Sky</x:v>
      </x:c>
      <x:c r="G184" s="10" t="str">
        <x:v>WNBA regular season / Commissioner's Cup</x:v>
      </x:c>
      <x:c r="H184" s="10" t="str">
        <x:v>Self-selected live ranked outcomes</x:v>
      </x:c>
      <x:c r="I184" s="9" t="n">
        <x:v>4</x:v>
      </x:c>
      <x:c r="J184" s="10" t="str">
        <x:v>Chicago Sky to hold New York Liberty under 70 points</x:v>
      </x:c>
      <x:c r="K184" s="9" t="str">
        <x:v>New York under 70 team points</x:v>
      </x:c>
      <x:c r="L184" s="23" t="n">
        <x:v>0.18</x:v>
      </x:c>
      <x:c r="M184" s="9" t="str">
        <x:v>L</x:v>
      </x:c>
      <x:c r="N184" s="9" t="n">
        <x:f>IF(M184="W",1,IF(M184="L",0,""))</x:f>
        <x:v>0</x:v>
      </x:c>
      <x:c r="O184" s="24" t="n">
        <x:f>IF(OR(M184="W",M184="L"),(L184-N184)^2,"")</x:f>
        <x:v>0.0324</x:v>
      </x:c>
      <x:c r="P184" s="9" t="str">
        <x:v>NO</x:v>
      </x:c>
      <x:c r="Q184" s="9" t="str">
        <x:v>10-19</x:v>
      </x:c>
      <x:c r="R184" s="9" t="str">
        <x:v>NO</x:v>
      </x:c>
      <x:c r="S184" s="10" t="str">
        <x:v>ESPN WNBA API final summary event 401856997, checked 2026-06-18 AEST</x:v>
      </x:c>
      <x:c r="T184" s="10" t="str">
        <x:f>IF(IFERROR(ISNUMBER(SEARCH("http",S184)),FALSE),"YES","NO")</x:f>
        <x:v>NO</x:v>
      </x:c>
      <x:c r="U184" s="10" t="str">
        <x:v>NO</x:v>
      </x:c>
      <x:c r="V184" s="10" t="str">
        <x:v>NO</x:v>
      </x:c>
      <x:c r="W184" s="10" t="str">
        <x:v>LEGACY_UNVERIFIED_SNAPSHOT: no immutable cutoff/model/source packet</x:v>
      </x:c>
      <x:c r="X184" s="10" t="str">
        <x:v>legacy schema only</x:v>
      </x:c>
    </x:row>
    <x:row r="185">
      <x:c r="A185" s="9" t="n">
        <x:v>181</x:v>
      </x:c>
      <x:c r="B185" s="9" t="str">
        <x:v>MLB-20260618-BAL-SEA</x:v>
      </x:c>
      <x:c r="C185" s="25" t="str">
        <x:v>2026-06-18</x:v>
      </x:c>
      <x:c r="D185" s="9" t="str">
        <x:v>Baseball</x:v>
      </x:c>
      <x:c r="E185" s="9" t="str">
        <x:v>Baseball</x:v>
      </x:c>
      <x:c r="F185" s="10" t="str">
        <x:v>Baltimore Orioles @ Seattle Mariners</x:v>
      </x:c>
      <x:c r="G185" s="10" t="str">
        <x:v>MLB regular season</x:v>
      </x:c>
      <x:c r="H185" s="10" t="str">
        <x:v>User-listed four options: Orioles +4.5, Mariners +0.5, Over 7.5, Under 7.5</x:v>
      </x:c>
      <x:c r="I185" s="9" t="n">
        <x:v>1</x:v>
      </x:c>
      <x:c r="J185" s="10" t="str">
        <x:v>Orioles +4.5 runs</x:v>
      </x:c>
      <x:c r="K185" s="9" t="str">
        <x:v>Orioles +4.5</x:v>
      </x:c>
      <x:c r="L185" s="23" t="n">
        <x:v>0.82</x:v>
      </x:c>
      <x:c r="M185" s="9" t="str">
        <x:v>W</x:v>
      </x:c>
      <x:c r="N185" s="9" t="n">
        <x:f>IF(M185="W",1,IF(M185="L",0,""))</x:f>
        <x:v>1</x:v>
      </x:c>
      <x:c r="O185" s="24" t="n">
        <x:f>IF(OR(M185="W",M185="L"),(L185-N185)^2,"")</x:f>
        <x:v>0.03240000000000002</x:v>
      </x:c>
      <x:c r="P185" s="9" t="str">
        <x:v>NO</x:v>
      </x:c>
      <x:c r="Q185" s="9" t="str">
        <x:v>80-89</x:v>
      </x:c>
      <x:c r="R185" s="9" t="str">
        <x:v>NO</x:v>
      </x:c>
      <x:c r="S185" s="10" t="str">
        <x:v>MLB StatsAPI gamePk 823127 final line score, checked 2026-06-18 AEST</x:v>
      </x:c>
      <x:c r="T185" s="10" t="str">
        <x:f>IF(IFERROR(ISNUMBER(SEARCH("http",S185)),FALSE),"YES","NO")</x:f>
        <x:v>NO</x:v>
      </x:c>
      <x:c r="U185" s="10" t="str">
        <x:v>NO</x:v>
      </x:c>
      <x:c r="V185" s="10" t="str">
        <x:v>NO</x:v>
      </x:c>
      <x:c r="W185" s="10" t="str">
        <x:v>LEGACY_UNVERIFIED_SNAPSHOT: no immutable cutoff/model/source packet</x:v>
      </x:c>
      <x:c r="X185" s="10" t="str">
        <x:v>legacy schema only</x:v>
      </x:c>
    </x:row>
    <x:row r="186">
      <x:c r="A186" s="9" t="n">
        <x:v>182</x:v>
      </x:c>
      <x:c r="B186" s="9" t="str">
        <x:v>MLB-20260618-BAL-SEA</x:v>
      </x:c>
      <x:c r="C186" s="25" t="str">
        <x:v>2026-06-18</x:v>
      </x:c>
      <x:c r="D186" s="9" t="str">
        <x:v>Baseball</x:v>
      </x:c>
      <x:c r="E186" s="9" t="str">
        <x:v>Baseball</x:v>
      </x:c>
      <x:c r="F186" s="10" t="str">
        <x:v>Baltimore Orioles @ Seattle Mariners</x:v>
      </x:c>
      <x:c r="G186" s="10" t="str">
        <x:v>MLB regular season</x:v>
      </x:c>
      <x:c r="H186" s="10" t="str">
        <x:v>User-listed four options: Orioles +4.5, Mariners +0.5, Over 7.5, Under 7.5</x:v>
      </x:c>
      <x:c r="I186" s="9" t="n">
        <x:v>2</x:v>
      </x:c>
      <x:c r="J186" s="10" t="str">
        <x:v>Mariners +0.5 runs</x:v>
      </x:c>
      <x:c r="K186" s="9" t="str">
        <x:v>Mariners +0.5 (win required in normal MLB settlement)</x:v>
      </x:c>
      <x:c r="L186" s="23" t="n">
        <x:v>0.57</x:v>
      </x:c>
      <x:c r="M186" s="9" t="str">
        <x:v>L</x:v>
      </x:c>
      <x:c r="N186" s="9" t="n">
        <x:f>IF(M186="W",1,IF(M186="L",0,""))</x:f>
        <x:v>0</x:v>
      </x:c>
      <x:c r="O186" s="24" t="n">
        <x:f>IF(OR(M186="W",M186="L"),(L186-N186)^2,"")</x:f>
        <x:v>0.32489999999999997</x:v>
      </x:c>
      <x:c r="P186" s="9" t="str">
        <x:v>NO</x:v>
      </x:c>
      <x:c r="Q186" s="9" t="str">
        <x:v>50-59</x:v>
      </x:c>
      <x:c r="R186" s="9" t="str">
        <x:v>NO</x:v>
      </x:c>
      <x:c r="S186" s="10" t="str">
        <x:v>MLB StatsAPI gamePk 823127 final line score, checked 2026-06-18 AEST</x:v>
      </x:c>
      <x:c r="T186" s="10" t="str">
        <x:f>IF(IFERROR(ISNUMBER(SEARCH("http",S186)),FALSE),"YES","NO")</x:f>
        <x:v>NO</x:v>
      </x:c>
      <x:c r="U186" s="10" t="str">
        <x:v>NO</x:v>
      </x:c>
      <x:c r="V186" s="10" t="str">
        <x:v>NO</x:v>
      </x:c>
      <x:c r="W186" s="10" t="str">
        <x:v>LEGACY_UNVERIFIED_SNAPSHOT: no immutable cutoff/model/source packet</x:v>
      </x:c>
      <x:c r="X186" s="10" t="str">
        <x:v>legacy schema only</x:v>
      </x:c>
    </x:row>
    <x:row r="187">
      <x:c r="A187" s="9" t="n">
        <x:v>183</x:v>
      </x:c>
      <x:c r="B187" s="9" t="str">
        <x:v>MLB-20260618-BAL-SEA</x:v>
      </x:c>
      <x:c r="C187" s="25" t="str">
        <x:v>2026-06-18</x:v>
      </x:c>
      <x:c r="D187" s="9" t="str">
        <x:v>Baseball</x:v>
      </x:c>
      <x:c r="E187" s="9" t="str">
        <x:v>Baseball</x:v>
      </x:c>
      <x:c r="F187" s="10" t="str">
        <x:v>Baltimore Orioles @ Seattle Mariners</x:v>
      </x:c>
      <x:c r="G187" s="10" t="str">
        <x:v>MLB regular season</x:v>
      </x:c>
      <x:c r="H187" s="10" t="str">
        <x:v>User-listed four options: Orioles +4.5, Mariners +0.5, Over 7.5, Under 7.5</x:v>
      </x:c>
      <x:c r="I187" s="9" t="n">
        <x:v>3</x:v>
      </x:c>
      <x:c r="J187" s="10" t="str">
        <x:v>Combined Total Over 7.5 runs</x:v>
      </x:c>
      <x:c r="K187" s="9" t="str">
        <x:v>Over 7.5 total runs</x:v>
      </x:c>
      <x:c r="L187" s="23" t="n">
        <x:v>0.54</x:v>
      </x:c>
      <x:c r="M187" s="9" t="str">
        <x:v>W</x:v>
      </x:c>
      <x:c r="N187" s="9" t="n">
        <x:f>IF(M187="W",1,IF(M187="L",0,""))</x:f>
        <x:v>1</x:v>
      </x:c>
      <x:c r="O187" s="24" t="n">
        <x:f>IF(OR(M187="W",M187="L"),(L187-N187)^2,"")</x:f>
        <x:v>0.21159999999999995</x:v>
      </x:c>
      <x:c r="P187" s="9" t="str">
        <x:v>YES</x:v>
      </x:c>
      <x:c r="Q187" s="9" t="str">
        <x:v>50-59</x:v>
      </x:c>
      <x:c r="R187" s="9" t="str">
        <x:v>NO</x:v>
      </x:c>
      <x:c r="S187" s="10" t="str">
        <x:v>MLB StatsAPI gamePk 823127 final line score, checked 2026-06-18 AEST</x:v>
      </x:c>
      <x:c r="T187" s="10" t="str">
        <x:f>IF(IFERROR(ISNUMBER(SEARCH("http",S187)),FALSE),"YES","NO")</x:f>
        <x:v>NO</x:v>
      </x:c>
      <x:c r="U187" s="10" t="str">
        <x:v>NO</x:v>
      </x:c>
      <x:c r="V187" s="10" t="str">
        <x:v>NO</x:v>
      </x:c>
      <x:c r="W187" s="10" t="str">
        <x:v>LEGACY_UNVERIFIED_SNAPSHOT: no immutable cutoff/model/source packet</x:v>
      </x:c>
      <x:c r="X187" s="10" t="str">
        <x:v>exact_complement_selection</x:v>
      </x:c>
    </x:row>
    <x:row r="188">
      <x:c r="A188" s="9" t="n">
        <x:v>184</x:v>
      </x:c>
      <x:c r="B188" s="9" t="str">
        <x:v>MLB-20260618-BAL-SEA</x:v>
      </x:c>
      <x:c r="C188" s="25" t="str">
        <x:v>2026-06-18</x:v>
      </x:c>
      <x:c r="D188" s="9" t="str">
        <x:v>Baseball</x:v>
      </x:c>
      <x:c r="E188" s="9" t="str">
        <x:v>Baseball</x:v>
      </x:c>
      <x:c r="F188" s="10" t="str">
        <x:v>Baltimore Orioles @ Seattle Mariners</x:v>
      </x:c>
      <x:c r="G188" s="10" t="str">
        <x:v>MLB regular season</x:v>
      </x:c>
      <x:c r="H188" s="10" t="str">
        <x:v>User-listed four options: Orioles +4.5, Mariners +0.5, Over 7.5, Under 7.5</x:v>
      </x:c>
      <x:c r="I188" s="9" t="n">
        <x:v>4</x:v>
      </x:c>
      <x:c r="J188" s="10" t="str">
        <x:v>Combined Total Under 7.5 runs</x:v>
      </x:c>
      <x:c r="K188" s="9" t="str">
        <x:v>Under 7.5 total runs</x:v>
      </x:c>
      <x:c r="L188" s="23" t="n">
        <x:v>0.46</x:v>
      </x:c>
      <x:c r="M188" s="9" t="str">
        <x:v>L</x:v>
      </x:c>
      <x:c r="N188" s="9" t="n">
        <x:f>IF(M188="W",1,IF(M188="L",0,""))</x:f>
        <x:v>0</x:v>
      </x:c>
      <x:c r="O188" s="24" t="n">
        <x:f>IF(OR(M188="W",M188="L"),(L188-N188)^2,"")</x:f>
        <x:v>0.2116</x:v>
      </x:c>
      <x:c r="P188" s="9" t="str">
        <x:v>YES</x:v>
      </x:c>
      <x:c r="Q188" s="9" t="str">
        <x:v>40-49</x:v>
      </x:c>
      <x:c r="R188" s="9" t="str">
        <x:v>NO</x:v>
      </x:c>
      <x:c r="S188" s="10" t="str">
        <x:v>MLB StatsAPI gamePk 823127 final line score, checked 2026-06-18 AEST</x:v>
      </x:c>
      <x:c r="T188" s="10" t="str">
        <x:f>IF(IFERROR(ISNUMBER(SEARCH("http",S188)),FALSE),"YES","NO")</x:f>
        <x:v>NO</x:v>
      </x:c>
      <x:c r="U188" s="10" t="str">
        <x:v>NO</x:v>
      </x:c>
      <x:c r="V188" s="10" t="str">
        <x:v>NO</x:v>
      </x:c>
      <x:c r="W188" s="10" t="str">
        <x:v>LEGACY_UNVERIFIED_SNAPSHOT: no immutable cutoff/model/source packet</x:v>
      </x:c>
      <x:c r="X188" s="10" t="str">
        <x:v>exact_complement_selection</x:v>
      </x:c>
    </x:row>
    <x:row r="189">
      <x:c r="A189" s="9" t="n">
        <x:v>185</x:v>
      </x:c>
      <x:c r="B189" s="9" t="str">
        <x:v>WNBA-20260618-LVA-PHX</x:v>
      </x:c>
      <x:c r="C189" s="25" t="str">
        <x:v>2026-06-18</x:v>
      </x:c>
      <x:c r="D189" s="9" t="str">
        <x:v>Basketball</x:v>
      </x:c>
      <x:c r="E189" s="9" t="str">
        <x:v>Basketball</x:v>
      </x:c>
      <x:c r="F189" s="10" t="str">
        <x:v>Las Vegas Aces @ Phoenix Mercury</x:v>
      </x:c>
      <x:c r="G189" s="10" t="str">
        <x:v>WNBA regular season / Commissioner's Cup</x:v>
      </x:c>
      <x:c r="H189" s="10" t="str">
        <x:v>Self-selected four from user list: 1H Over 83.5, Aces -5.5, Mercury +5.5, 1H Under 83.5</x:v>
      </x:c>
      <x:c r="I189" s="9" t="n">
        <x:v>1</x:v>
      </x:c>
      <x:c r="J189" s="10" t="str">
        <x:v>Combined 1st Half Total Over 83.5 points</x:v>
      </x:c>
      <x:c r="K189" s="9" t="str">
        <x:v>1H Over 83.5</x:v>
      </x:c>
      <x:c r="L189" s="23" t="n">
        <x:v>0.63</x:v>
      </x:c>
      <x:c r="M189" s="9" t="str">
        <x:v>W</x:v>
      </x:c>
      <x:c r="N189" s="9" t="n">
        <x:f>IF(M189="W",1,IF(M189="L",0,""))</x:f>
        <x:v>1</x:v>
      </x:c>
      <x:c r="O189" s="24" t="n">
        <x:f>IF(OR(M189="W",M189="L"),(L189-N189)^2,"")</x:f>
        <x:v>0.1369</x:v>
      </x:c>
      <x:c r="P189" s="9" t="str">
        <x:v>YES</x:v>
      </x:c>
      <x:c r="Q189" s="9" t="str">
        <x:v>60-69</x:v>
      </x:c>
      <x:c r="R189" s="9" t="str">
        <x:v>NO</x:v>
      </x:c>
      <x:c r="S189" s="10" t="str">
        <x:v>ESPN WNBA API final summary event 401857000, checked 2026-06-18 AEST</x:v>
      </x:c>
      <x:c r="T189" s="10" t="str">
        <x:f>IF(IFERROR(ISNUMBER(SEARCH("http",S189)),FALSE),"YES","NO")</x:f>
        <x:v>NO</x:v>
      </x:c>
      <x:c r="U189" s="10" t="str">
        <x:v>NO</x:v>
      </x:c>
      <x:c r="V189" s="10" t="str">
        <x:v>NO</x:v>
      </x:c>
      <x:c r="W189" s="10" t="str">
        <x:v>LEGACY_UNVERIFIED_SNAPSHOT: no immutable cutoff/model/source packet</x:v>
      </x:c>
      <x:c r="X189" s="10" t="str">
        <x:v>exact_complement_selection</x:v>
      </x:c>
    </x:row>
    <x:row r="190">
      <x:c r="A190" s="9" t="n">
        <x:v>186</x:v>
      </x:c>
      <x:c r="B190" s="9" t="str">
        <x:v>WNBA-20260618-LVA-PHX</x:v>
      </x:c>
      <x:c r="C190" s="25" t="str">
        <x:v>2026-06-18</x:v>
      </x:c>
      <x:c r="D190" s="9" t="str">
        <x:v>Basketball</x:v>
      </x:c>
      <x:c r="E190" s="9" t="str">
        <x:v>Basketball</x:v>
      </x:c>
      <x:c r="F190" s="10" t="str">
        <x:v>Las Vegas Aces @ Phoenix Mercury</x:v>
      </x:c>
      <x:c r="G190" s="10" t="str">
        <x:v>WNBA regular season / Commissioner's Cup</x:v>
      </x:c>
      <x:c r="H190" s="10" t="str">
        <x:v>Self-selected four from user list: 1H Over 83.5, Aces -5.5, Mercury +5.5, 1H Under 83.5</x:v>
      </x:c>
      <x:c r="I190" s="9" t="n">
        <x:v>2</x:v>
      </x:c>
      <x:c r="J190" s="10" t="str">
        <x:v>Aces -5.5 points</x:v>
      </x:c>
      <x:c r="K190" s="9" t="str">
        <x:v>Aces -5.5</x:v>
      </x:c>
      <x:c r="L190" s="23" t="n">
        <x:v>0.58</x:v>
      </x:c>
      <x:c r="M190" s="9" t="str">
        <x:v>W</x:v>
      </x:c>
      <x:c r="N190" s="9" t="n">
        <x:f>IF(M190="W",1,IF(M190="L",0,""))</x:f>
        <x:v>1</x:v>
      </x:c>
      <x:c r="O190" s="24" t="n">
        <x:f>IF(OR(M190="W",M190="L"),(L190-N190)^2,"")</x:f>
        <x:v>0.17640000000000003</x:v>
      </x:c>
      <x:c r="P190" s="9" t="str">
        <x:v>YES</x:v>
      </x:c>
      <x:c r="Q190" s="9" t="str">
        <x:v>50-59</x:v>
      </x:c>
      <x:c r="R190" s="9" t="str">
        <x:v>NO</x:v>
      </x:c>
      <x:c r="S190" s="10" t="str">
        <x:v>ESPN WNBA API final summary event 401857000, checked 2026-06-18 AEST</x:v>
      </x:c>
      <x:c r="T190" s="10" t="str">
        <x:f>IF(IFERROR(ISNUMBER(SEARCH("http",S190)),FALSE),"YES","NO")</x:f>
        <x:v>NO</x:v>
      </x:c>
      <x:c r="U190" s="10" t="str">
        <x:v>NO</x:v>
      </x:c>
      <x:c r="V190" s="10" t="str">
        <x:v>NO</x:v>
      </x:c>
      <x:c r="W190" s="10" t="str">
        <x:v>LEGACY_UNVERIFIED_SNAPSHOT: no immutable cutoff/model/source packet</x:v>
      </x:c>
      <x:c r="X190" s="10" t="str">
        <x:v>exact_complement_selection</x:v>
      </x:c>
    </x:row>
    <x:row r="191">
      <x:c r="A191" s="9" t="n">
        <x:v>187</x:v>
      </x:c>
      <x:c r="B191" s="9" t="str">
        <x:v>WNBA-20260618-LVA-PHX</x:v>
      </x:c>
      <x:c r="C191" s="25" t="str">
        <x:v>2026-06-18</x:v>
      </x:c>
      <x:c r="D191" s="9" t="str">
        <x:v>Basketball</x:v>
      </x:c>
      <x:c r="E191" s="9" t="str">
        <x:v>Basketball</x:v>
      </x:c>
      <x:c r="F191" s="10" t="str">
        <x:v>Las Vegas Aces @ Phoenix Mercury</x:v>
      </x:c>
      <x:c r="G191" s="10" t="str">
        <x:v>WNBA regular season / Commissioner's Cup</x:v>
      </x:c>
      <x:c r="H191" s="10" t="str">
        <x:v>Self-selected four from user list: 1H Over 83.5, Aces -5.5, Mercury +5.5, 1H Under 83.5</x:v>
      </x:c>
      <x:c r="I191" s="9" t="n">
        <x:v>3</x:v>
      </x:c>
      <x:c r="J191" s="10" t="str">
        <x:v>Mercury +5.5 points</x:v>
      </x:c>
      <x:c r="K191" s="9" t="str">
        <x:v>Mercury +5.5</x:v>
      </x:c>
      <x:c r="L191" s="23" t="n">
        <x:v>0.42</x:v>
      </x:c>
      <x:c r="M191" s="9" t="str">
        <x:v>L</x:v>
      </x:c>
      <x:c r="N191" s="9" t="n">
        <x:f>IF(M191="W",1,IF(M191="L",0,""))</x:f>
        <x:v>0</x:v>
      </x:c>
      <x:c r="O191" s="24" t="n">
        <x:f>IF(OR(M191="W",M191="L"),(L191-N191)^2,"")</x:f>
        <x:v>0.17639999999999997</x:v>
      </x:c>
      <x:c r="P191" s="9" t="str">
        <x:v>YES</x:v>
      </x:c>
      <x:c r="Q191" s="9" t="str">
        <x:v>40-49</x:v>
      </x:c>
      <x:c r="R191" s="9" t="str">
        <x:v>NO</x:v>
      </x:c>
      <x:c r="S191" s="10" t="str">
        <x:v>ESPN WNBA API final summary event 401857000, checked 2026-06-18 AEST</x:v>
      </x:c>
      <x:c r="T191" s="10" t="str">
        <x:f>IF(IFERROR(ISNUMBER(SEARCH("http",S191)),FALSE),"YES","NO")</x:f>
        <x:v>NO</x:v>
      </x:c>
      <x:c r="U191" s="10" t="str">
        <x:v>NO</x:v>
      </x:c>
      <x:c r="V191" s="10" t="str">
        <x:v>NO</x:v>
      </x:c>
      <x:c r="W191" s="10" t="str">
        <x:v>LEGACY_UNVERIFIED_SNAPSHOT: no immutable cutoff/model/source packet</x:v>
      </x:c>
      <x:c r="X191" s="10" t="str">
        <x:v>exact_complement_selection</x:v>
      </x:c>
    </x:row>
    <x:row r="192">
      <x:c r="A192" s="9" t="n">
        <x:v>188</x:v>
      </x:c>
      <x:c r="B192" s="9" t="str">
        <x:v>WNBA-20260618-LVA-PHX</x:v>
      </x:c>
      <x:c r="C192" s="25" t="str">
        <x:v>2026-06-18</x:v>
      </x:c>
      <x:c r="D192" s="9" t="str">
        <x:v>Basketball</x:v>
      </x:c>
      <x:c r="E192" s="9" t="str">
        <x:v>Basketball</x:v>
      </x:c>
      <x:c r="F192" s="10" t="str">
        <x:v>Las Vegas Aces @ Phoenix Mercury</x:v>
      </x:c>
      <x:c r="G192" s="10" t="str">
        <x:v>WNBA regular season / Commissioner's Cup</x:v>
      </x:c>
      <x:c r="H192" s="10" t="str">
        <x:v>Self-selected four from user list: 1H Over 83.5, Aces -5.5, Mercury +5.5, 1H Under 83.5</x:v>
      </x:c>
      <x:c r="I192" s="9" t="n">
        <x:v>4</x:v>
      </x:c>
      <x:c r="J192" s="10" t="str">
        <x:v>Combined 1st Half Total Under 83.5 points</x:v>
      </x:c>
      <x:c r="K192" s="9" t="str">
        <x:v>1H Under 83.5</x:v>
      </x:c>
      <x:c r="L192" s="23" t="n">
        <x:v>0.37</x:v>
      </x:c>
      <x:c r="M192" s="9" t="str">
        <x:v>L</x:v>
      </x:c>
      <x:c r="N192" s="9" t="n">
        <x:f>IF(M192="W",1,IF(M192="L",0,""))</x:f>
        <x:v>0</x:v>
      </x:c>
      <x:c r="O192" s="24" t="n">
        <x:f>IF(OR(M192="W",M192="L"),(L192-N192)^2,"")</x:f>
        <x:v>0.1369</x:v>
      </x:c>
      <x:c r="P192" s="9" t="str">
        <x:v>YES</x:v>
      </x:c>
      <x:c r="Q192" s="9" t="str">
        <x:v>30-39</x:v>
      </x:c>
      <x:c r="R192" s="9" t="str">
        <x:v>NO</x:v>
      </x:c>
      <x:c r="S192" s="10" t="str">
        <x:v>ESPN WNBA API final summary event 401857000, checked 2026-06-18 AEST</x:v>
      </x:c>
      <x:c r="T192" s="10" t="str">
        <x:f>IF(IFERROR(ISNUMBER(SEARCH("http",S192)),FALSE),"YES","NO")</x:f>
        <x:v>NO</x:v>
      </x:c>
      <x:c r="U192" s="10" t="str">
        <x:v>NO</x:v>
      </x:c>
      <x:c r="V192" s="10" t="str">
        <x:v>NO</x:v>
      </x:c>
      <x:c r="W192" s="10" t="str">
        <x:v>LEGACY_UNVERIFIED_SNAPSHOT: no immutable cutoff/model/source packet</x:v>
      </x:c>
      <x:c r="X192" s="10" t="str">
        <x:v>exact_complement_selection</x:v>
      </x:c>
    </x:row>
    <x:row r="193">
      <x:c r="A193" s="9" t="n">
        <x:v>189</x:v>
      </x:c>
      <x:c r="B193" s="9" t="str">
        <x:v>LBA-20260617-VEN-MIL-G3</x:v>
      </x:c>
      <x:c r="C193" s="25" t="str">
        <x:v>2026-06-17</x:v>
      </x:c>
      <x:c r="D193" s="9" t="str">
        <x:v>Basketball</x:v>
      </x:c>
      <x:c r="E193" s="9" t="str">
        <x:v>Basketball</x:v>
      </x:c>
      <x:c r="F193" s="10" t="str">
        <x:v>Umana Reyer Venezia vs EA7 Emporio Armani Milano</x:v>
      </x:c>
      <x:c r="G193" s="10" t="str">
        <x:v>Italy Lega Basket Serie A Finals Game 3</x:v>
      </x:c>
      <x:c r="H193" s="10" t="str">
        <x:v>Side, full total, Q1 total, 1H total</x:v>
      </x:c>
      <x:c r="I193" s="9" t="n">
        <x:v>1</x:v>
      </x:c>
      <x:c r="J193" s="10" t="str">
        <x:v>Combined 1st half Total Over 84.5</x:v>
      </x:c>
      <x:c r="K193" s="9" t="str">
        <x:v>1H Over 84.5</x:v>
      </x:c>
      <x:c r="L193" s="23" t="n">
        <x:v>0.64</x:v>
      </x:c>
      <x:c r="M193" s="9" t="str">
        <x:v>W</x:v>
      </x:c>
      <x:c r="N193" s="9" t="n">
        <x:f>IF(M193="W",1,IF(M193="L",0,""))</x:f>
        <x:v>1</x:v>
      </x:c>
      <x:c r="O193" s="24" t="n">
        <x:f>IF(OR(M193="W",M193="L"),(L193-N193)^2,"")</x:f>
        <x:v>0.1296</x:v>
      </x:c>
      <x:c r="P193" s="9" t="str">
        <x:v>YES</x:v>
      </x:c>
      <x:c r="Q193" s="9" t="str">
        <x:v>60-69</x:v>
      </x:c>
      <x:c r="R193" s="9" t="str">
        <x:v>NO</x:v>
      </x:c>
      <x:c r="S193" s="10" t="str">
        <x:v>Eurohoops Game 3 report 2026-06-16; LBA/Olimpia context</x:v>
      </x:c>
      <x:c r="T193" s="10" t="str">
        <x:f>IF(IFERROR(ISNUMBER(SEARCH("http",S193)),FALSE),"YES","NO")</x:f>
        <x:v>NO</x:v>
      </x:c>
      <x:c r="U193" s="10" t="str">
        <x:v>YES</x:v>
      </x:c>
      <x:c r="V193" s="10" t="str">
        <x:v>NO</x:v>
      </x:c>
      <x:c r="W193" s="10" t="str">
        <x:v>LEGACY_UNVERIFIED_SNAPSHOT: no immutable cutoff/model/source packet</x:v>
      </x:c>
      <x:c r="X193" s="10" t="str">
        <x:v>potential_post_event_input_text; exact_complement_selection</x:v>
      </x:c>
    </x:row>
    <x:row r="194">
      <x:c r="A194" s="9" t="n">
        <x:v>190</x:v>
      </x:c>
      <x:c r="B194" s="9" t="str">
        <x:v>LBA-20260617-VEN-MIL-G3</x:v>
      </x:c>
      <x:c r="C194" s="25" t="str">
        <x:v>2026-06-17</x:v>
      </x:c>
      <x:c r="D194" s="9" t="str">
        <x:v>Basketball</x:v>
      </x:c>
      <x:c r="E194" s="9" t="str">
        <x:v>Basketball</x:v>
      </x:c>
      <x:c r="F194" s="10" t="str">
        <x:v>Umana Reyer Venezia vs EA7 Emporio Armani Milano</x:v>
      </x:c>
      <x:c r="G194" s="10" t="str">
        <x:v>Italy Lega Basket Serie A Finals Game 3</x:v>
      </x:c>
      <x:c r="H194" s="10" t="str">
        <x:v>Side, full total, Q1 total, 1H total</x:v>
      </x:c>
      <x:c r="I194" s="9" t="n">
        <x:v>2</x:v>
      </x:c>
      <x:c r="J194" s="10" t="str">
        <x:v>Milano -4.5</x:v>
      </x:c>
      <x:c r="K194" s="9" t="str">
        <x:v>Milano -4.5</x:v>
      </x:c>
      <x:c r="L194" s="23" t="n">
        <x:v>0.62</x:v>
      </x:c>
      <x:c r="M194" s="9" t="str">
        <x:v>L</x:v>
      </x:c>
      <x:c r="N194" s="9" t="n">
        <x:f>IF(M194="W",1,IF(M194="L",0,""))</x:f>
        <x:v>0</x:v>
      </x:c>
      <x:c r="O194" s="24" t="n">
        <x:f>IF(OR(M194="W",M194="L"),(L194-N194)^2,"")</x:f>
        <x:v>0.3844</x:v>
      </x:c>
      <x:c r="P194" s="9" t="str">
        <x:v>YES</x:v>
      </x:c>
      <x:c r="Q194" s="9" t="str">
        <x:v>60-69</x:v>
      </x:c>
      <x:c r="R194" s="9" t="str">
        <x:v>NO</x:v>
      </x:c>
      <x:c r="S194" s="10" t="str">
        <x:v>Eurohoops Game 3 report 2026-06-16; LBA/Olimpia context</x:v>
      </x:c>
      <x:c r="T194" s="10" t="str">
        <x:f>IF(IFERROR(ISNUMBER(SEARCH("http",S194)),FALSE),"YES","NO")</x:f>
        <x:v>NO</x:v>
      </x:c>
      <x:c r="U194" s="10" t="str">
        <x:v>YES</x:v>
      </x:c>
      <x:c r="V194" s="10" t="str">
        <x:v>NO</x:v>
      </x:c>
      <x:c r="W194" s="10" t="str">
        <x:v>LEGACY_UNVERIFIED_SNAPSHOT: no immutable cutoff/model/source packet</x:v>
      </x:c>
      <x:c r="X194" s="10" t="str">
        <x:v>projection_error; rank_error; potential_post_event_input_text; exact_complement_selection</x:v>
      </x:c>
    </x:row>
    <x:row r="195">
      <x:c r="A195" s="9" t="n">
        <x:v>191</x:v>
      </x:c>
      <x:c r="B195" s="9" t="str">
        <x:v>LBA-20260617-VEN-MIL-G3</x:v>
      </x:c>
      <x:c r="C195" s="25" t="str">
        <x:v>2026-06-17</x:v>
      </x:c>
      <x:c r="D195" s="9" t="str">
        <x:v>Basketball</x:v>
      </x:c>
      <x:c r="E195" s="9" t="str">
        <x:v>Basketball</x:v>
      </x:c>
      <x:c r="F195" s="10" t="str">
        <x:v>Umana Reyer Venezia vs EA7 Emporio Armani Milano</x:v>
      </x:c>
      <x:c r="G195" s="10" t="str">
        <x:v>Italy Lega Basket Serie A Finals Game 3</x:v>
      </x:c>
      <x:c r="H195" s="10" t="str">
        <x:v>Side, full total, Q1 total, 1H total</x:v>
      </x:c>
      <x:c r="I195" s="9" t="n">
        <x:v>3</x:v>
      </x:c>
      <x:c r="J195" s="10" t="str">
        <x:v>Combined 1st quarter Total Over 43.5</x:v>
      </x:c>
      <x:c r="K195" s="9" t="str">
        <x:v>Q1 Over 43.5</x:v>
      </x:c>
      <x:c r="L195" s="23" t="n">
        <x:v>0.57</x:v>
      </x:c>
      <x:c r="M195" s="9" t="str">
        <x:v>W</x:v>
      </x:c>
      <x:c r="N195" s="9" t="n">
        <x:f>IF(M195="W",1,IF(M195="L",0,""))</x:f>
        <x:v>1</x:v>
      </x:c>
      <x:c r="O195" s="24" t="n">
        <x:f>IF(OR(M195="W",M195="L"),(L195-N195)^2,"")</x:f>
        <x:v>0.18490000000000004</x:v>
      </x:c>
      <x:c r="P195" s="9" t="str">
        <x:v>YES</x:v>
      </x:c>
      <x:c r="Q195" s="9" t="str">
        <x:v>50-59</x:v>
      </x:c>
      <x:c r="R195" s="9" t="str">
        <x:v>NO</x:v>
      </x:c>
      <x:c r="S195" s="10" t="str">
        <x:v>Eurohoops Game 3 report 2026-06-16; LBA/Olimpia context</x:v>
      </x:c>
      <x:c r="T195" s="10" t="str">
        <x:f>IF(IFERROR(ISNUMBER(SEARCH("http",S195)),FALSE),"YES","NO")</x:f>
        <x:v>NO</x:v>
      </x:c>
      <x:c r="U195" s="10" t="str">
        <x:v>YES</x:v>
      </x:c>
      <x:c r="V195" s="10" t="str">
        <x:v>NO</x:v>
      </x:c>
      <x:c r="W195" s="10" t="str">
        <x:v>LEGACY_UNVERIFIED_SNAPSHOT: no immutable cutoff/model/source packet</x:v>
      </x:c>
      <x:c r="X195" s="10" t="str">
        <x:v>potential_post_event_input_text; exact_complement_selection</x:v>
      </x:c>
    </x:row>
    <x:row r="196">
      <x:c r="A196" s="9" t="n">
        <x:v>192</x:v>
      </x:c>
      <x:c r="B196" s="9" t="str">
        <x:v>LBA-20260617-VEN-MIL-G3</x:v>
      </x:c>
      <x:c r="C196" s="25" t="str">
        <x:v>2026-06-17</x:v>
      </x:c>
      <x:c r="D196" s="9" t="str">
        <x:v>Basketball</x:v>
      </x:c>
      <x:c r="E196" s="9" t="str">
        <x:v>Basketball</x:v>
      </x:c>
      <x:c r="F196" s="10" t="str">
        <x:v>Umana Reyer Venezia vs EA7 Emporio Armani Milano</x:v>
      </x:c>
      <x:c r="G196" s="10" t="str">
        <x:v>Italy Lega Basket Serie A Finals Game 3</x:v>
      </x:c>
      <x:c r="H196" s="10" t="str">
        <x:v>Side, full total, Q1 total, 1H total</x:v>
      </x:c>
      <x:c r="I196" s="9" t="n">
        <x:v>4</x:v>
      </x:c>
      <x:c r="J196" s="10" t="str">
        <x:v>Combined Total Over 172.5</x:v>
      </x:c>
      <x:c r="K196" s="9" t="str">
        <x:v>Full Over 172.5</x:v>
      </x:c>
      <x:c r="L196" s="23" t="n">
        <x:v>0.54</x:v>
      </x:c>
      <x:c r="M196" s="9" t="str">
        <x:v>W</x:v>
      </x:c>
      <x:c r="N196" s="9" t="n">
        <x:f>IF(M196="W",1,IF(M196="L",0,""))</x:f>
        <x:v>1</x:v>
      </x:c>
      <x:c r="O196" s="24" t="n">
        <x:f>IF(OR(M196="W",M196="L"),(L196-N196)^2,"")</x:f>
        <x:v>0.21159999999999995</x:v>
      </x:c>
      <x:c r="P196" s="9" t="str">
        <x:v>YES</x:v>
      </x:c>
      <x:c r="Q196" s="9" t="str">
        <x:v>50-59</x:v>
      </x:c>
      <x:c r="R196" s="9" t="str">
        <x:v>NO</x:v>
      </x:c>
      <x:c r="S196" s="10" t="str">
        <x:v>Eurohoops Game 3 report 2026-06-16; LBA/Olimpia context</x:v>
      </x:c>
      <x:c r="T196" s="10" t="str">
        <x:f>IF(IFERROR(ISNUMBER(SEARCH("http",S196)),FALSE),"YES","NO")</x:f>
        <x:v>NO</x:v>
      </x:c>
      <x:c r="U196" s="10" t="str">
        <x:v>YES</x:v>
      </x:c>
      <x:c r="V196" s="10" t="str">
        <x:v>NO</x:v>
      </x:c>
      <x:c r="W196" s="10" t="str">
        <x:v>LEGACY_UNVERIFIED_SNAPSHOT: no immutable cutoff/model/source packet</x:v>
      </x:c>
      <x:c r="X196" s="10" t="str">
        <x:v>potential_post_event_input_text; exact_complement_selection</x:v>
      </x:c>
    </x:row>
    <x:row r="197">
      <x:c r="A197" s="9" t="n">
        <x:v>193</x:v>
      </x:c>
      <x:c r="B197" s="9" t="str">
        <x:v>LBA-20260617-VEN-MIL-G3</x:v>
      </x:c>
      <x:c r="C197" s="25" t="str">
        <x:v>2026-06-17</x:v>
      </x:c>
      <x:c r="D197" s="9" t="str">
        <x:v>Basketball</x:v>
      </x:c>
      <x:c r="E197" s="9" t="str">
        <x:v>Basketball</x:v>
      </x:c>
      <x:c r="F197" s="10" t="str">
        <x:v>Umana Reyer Venezia vs EA7 Emporio Armani Milano</x:v>
      </x:c>
      <x:c r="G197" s="10" t="str">
        <x:v>Italy Lega Basket Serie A Finals Game 3</x:v>
      </x:c>
      <x:c r="H197" s="10" t="str">
        <x:v>Side, full total, Q1 total, 1H total</x:v>
      </x:c>
      <x:c r="I197" s="9" t="n">
        <x:v>5</x:v>
      </x:c>
      <x:c r="J197" s="10" t="str">
        <x:v>Combined Total Under 172.5</x:v>
      </x:c>
      <x:c r="K197" s="9" t="str">
        <x:v>Full Under 172.5</x:v>
      </x:c>
      <x:c r="L197" s="23" t="n">
        <x:v>0.46</x:v>
      </x:c>
      <x:c r="M197" s="9" t="str">
        <x:v>L</x:v>
      </x:c>
      <x:c r="N197" s="9" t="n">
        <x:f>IF(M197="W",1,IF(M197="L",0,""))</x:f>
        <x:v>0</x:v>
      </x:c>
      <x:c r="O197" s="24" t="n">
        <x:f>IF(OR(M197="W",M197="L"),(L197-N197)^2,"")</x:f>
        <x:v>0.2116</x:v>
      </x:c>
      <x:c r="P197" s="9" t="str">
        <x:v>YES</x:v>
      </x:c>
      <x:c r="Q197" s="9" t="str">
        <x:v>40-49</x:v>
      </x:c>
      <x:c r="R197" s="9" t="str">
        <x:v>NO</x:v>
      </x:c>
      <x:c r="S197" s="10" t="str">
        <x:v>Eurohoops Game 3 report 2026-06-16; LBA/Olimpia context</x:v>
      </x:c>
      <x:c r="T197" s="10" t="str">
        <x:f>IF(IFERROR(ISNUMBER(SEARCH("http",S197)),FALSE),"YES","NO")</x:f>
        <x:v>NO</x:v>
      </x:c>
      <x:c r="U197" s="10" t="str">
        <x:v>YES</x:v>
      </x:c>
      <x:c r="V197" s="10" t="str">
        <x:v>NO</x:v>
      </x:c>
      <x:c r="W197" s="10" t="str">
        <x:v>LEGACY_UNVERIFIED_SNAPSHOT: no immutable cutoff/model/source packet</x:v>
      </x:c>
      <x:c r="X197" s="10" t="str">
        <x:v>potential_post_event_input_text; exact_complement_selection</x:v>
      </x:c>
    </x:row>
    <x:row r="198">
      <x:c r="A198" s="9" t="n">
        <x:v>194</x:v>
      </x:c>
      <x:c r="B198" s="9" t="str">
        <x:v>LBA-20260617-VEN-MIL-G3</x:v>
      </x:c>
      <x:c r="C198" s="25" t="str">
        <x:v>2026-06-17</x:v>
      </x:c>
      <x:c r="D198" s="9" t="str">
        <x:v>Basketball</x:v>
      </x:c>
      <x:c r="E198" s="9" t="str">
        <x:v>Basketball</x:v>
      </x:c>
      <x:c r="F198" s="10" t="str">
        <x:v>Umana Reyer Venezia vs EA7 Emporio Armani Milano</x:v>
      </x:c>
      <x:c r="G198" s="10" t="str">
        <x:v>Italy Lega Basket Serie A Finals Game 3</x:v>
      </x:c>
      <x:c r="H198" s="10" t="str">
        <x:v>Side, full total, Q1 total, 1H total</x:v>
      </x:c>
      <x:c r="I198" s="9" t="n">
        <x:v>6</x:v>
      </x:c>
      <x:c r="J198" s="10" t="str">
        <x:v>Combined 1st quarter Total Under 43.5</x:v>
      </x:c>
      <x:c r="K198" s="9" t="str">
        <x:v>Q1 Under 43.5</x:v>
      </x:c>
      <x:c r="L198" s="23" t="n">
        <x:v>0.43</x:v>
      </x:c>
      <x:c r="M198" s="9" t="str">
        <x:v>L</x:v>
      </x:c>
      <x:c r="N198" s="9" t="n">
        <x:f>IF(M198="W",1,IF(M198="L",0,""))</x:f>
        <x:v>0</x:v>
      </x:c>
      <x:c r="O198" s="24" t="n">
        <x:f>IF(OR(M198="W",M198="L"),(L198-N198)^2,"")</x:f>
        <x:v>0.18489999999999998</x:v>
      </x:c>
      <x:c r="P198" s="9" t="str">
        <x:v>YES</x:v>
      </x:c>
      <x:c r="Q198" s="9" t="str">
        <x:v>40-49</x:v>
      </x:c>
      <x:c r="R198" s="9" t="str">
        <x:v>NO</x:v>
      </x:c>
      <x:c r="S198" s="10" t="str">
        <x:v>Eurohoops Game 3 report 2026-06-16; LBA/Olimpia context</x:v>
      </x:c>
      <x:c r="T198" s="10" t="str">
        <x:f>IF(IFERROR(ISNUMBER(SEARCH("http",S198)),FALSE),"YES","NO")</x:f>
        <x:v>NO</x:v>
      </x:c>
      <x:c r="U198" s="10" t="str">
        <x:v>YES</x:v>
      </x:c>
      <x:c r="V198" s="10" t="str">
        <x:v>NO</x:v>
      </x:c>
      <x:c r="W198" s="10" t="str">
        <x:v>LEGACY_UNVERIFIED_SNAPSHOT: no immutable cutoff/model/source packet</x:v>
      </x:c>
      <x:c r="X198" s="10" t="str">
        <x:v>potential_post_event_input_text; exact_complement_selection</x:v>
      </x:c>
    </x:row>
    <x:row r="199">
      <x:c r="A199" s="9" t="n">
        <x:v>195</x:v>
      </x:c>
      <x:c r="B199" s="9" t="str">
        <x:v>LBA-20260617-VEN-MIL-G3</x:v>
      </x:c>
      <x:c r="C199" s="25" t="str">
        <x:v>2026-06-17</x:v>
      </x:c>
      <x:c r="D199" s="9" t="str">
        <x:v>Basketball</x:v>
      </x:c>
      <x:c r="E199" s="9" t="str">
        <x:v>Basketball</x:v>
      </x:c>
      <x:c r="F199" s="10" t="str">
        <x:v>Umana Reyer Venezia vs EA7 Emporio Armani Milano</x:v>
      </x:c>
      <x:c r="G199" s="10" t="str">
        <x:v>Italy Lega Basket Serie A Finals Game 3</x:v>
      </x:c>
      <x:c r="H199" s="10" t="str">
        <x:v>Side, full total, Q1 total, 1H total</x:v>
      </x:c>
      <x:c r="I199" s="9" t="n">
        <x:v>7</x:v>
      </x:c>
      <x:c r="J199" s="10" t="str">
        <x:v>Venezia +4.5</x:v>
      </x:c>
      <x:c r="K199" s="9" t="str">
        <x:v>Venezia +4.5</x:v>
      </x:c>
      <x:c r="L199" s="23" t="n">
        <x:v>0.38</x:v>
      </x:c>
      <x:c r="M199" s="9" t="str">
        <x:v>W</x:v>
      </x:c>
      <x:c r="N199" s="9" t="n">
        <x:f>IF(M199="W",1,IF(M199="L",0,""))</x:f>
        <x:v>1</x:v>
      </x:c>
      <x:c r="O199" s="24" t="n">
        <x:f>IF(OR(M199="W",M199="L"),(L199-N199)^2,"")</x:f>
        <x:v>0.3844</x:v>
      </x:c>
      <x:c r="P199" s="9" t="str">
        <x:v>YES</x:v>
      </x:c>
      <x:c r="Q199" s="9" t="str">
        <x:v>30-39</x:v>
      </x:c>
      <x:c r="R199" s="9" t="str">
        <x:v>NO</x:v>
      </x:c>
      <x:c r="S199" s="10" t="str">
        <x:v>Eurohoops Game 3 report 2026-06-16; LBA/Olimpia context</x:v>
      </x:c>
      <x:c r="T199" s="10" t="str">
        <x:f>IF(IFERROR(ISNUMBER(SEARCH("http",S199)),FALSE),"YES","NO")</x:f>
        <x:v>NO</x:v>
      </x:c>
      <x:c r="U199" s="10" t="str">
        <x:v>YES</x:v>
      </x:c>
      <x:c r="V199" s="10" t="str">
        <x:v>NO</x:v>
      </x:c>
      <x:c r="W199" s="10" t="str">
        <x:v>LEGACY_UNVERIFIED_SNAPSHOT: no immutable cutoff/model/source packet</x:v>
      </x:c>
      <x:c r="X199" s="10" t="str">
        <x:v>projection_error; rank_error; potential_post_event_input_text; exact_complement_selection</x:v>
      </x:c>
    </x:row>
    <x:row r="200">
      <x:c r="A200" s="9" t="n">
        <x:v>196</x:v>
      </x:c>
      <x:c r="B200" s="9" t="str">
        <x:v>LBA-20260617-VEN-MIL-G3</x:v>
      </x:c>
      <x:c r="C200" s="25" t="str">
        <x:v>2026-06-17</x:v>
      </x:c>
      <x:c r="D200" s="9" t="str">
        <x:v>Basketball</x:v>
      </x:c>
      <x:c r="E200" s="9" t="str">
        <x:v>Basketball</x:v>
      </x:c>
      <x:c r="F200" s="10" t="str">
        <x:v>Umana Reyer Venezia vs EA7 Emporio Armani Milano</x:v>
      </x:c>
      <x:c r="G200" s="10" t="str">
        <x:v>Italy Lega Basket Serie A Finals Game 3</x:v>
      </x:c>
      <x:c r="H200" s="10" t="str">
        <x:v>Side, full total, Q1 total, 1H total</x:v>
      </x:c>
      <x:c r="I200" s="9" t="n">
        <x:v>8</x:v>
      </x:c>
      <x:c r="J200" s="10" t="str">
        <x:v>Combined 1st half Total Under 84.5</x:v>
      </x:c>
      <x:c r="K200" s="9" t="str">
        <x:v>1H Under 84.5</x:v>
      </x:c>
      <x:c r="L200" s="23" t="n">
        <x:v>0.36</x:v>
      </x:c>
      <x:c r="M200" s="9" t="str">
        <x:v>L</x:v>
      </x:c>
      <x:c r="N200" s="9" t="n">
        <x:f>IF(M200="W",1,IF(M200="L",0,""))</x:f>
        <x:v>0</x:v>
      </x:c>
      <x:c r="O200" s="24" t="n">
        <x:f>IF(OR(M200="W",M200="L"),(L200-N200)^2,"")</x:f>
        <x:v>0.1296</x:v>
      </x:c>
      <x:c r="P200" s="9" t="str">
        <x:v>YES</x:v>
      </x:c>
      <x:c r="Q200" s="9" t="str">
        <x:v>30-39</x:v>
      </x:c>
      <x:c r="R200" s="9" t="str">
        <x:v>NO</x:v>
      </x:c>
      <x:c r="S200" s="10" t="str">
        <x:v>Eurohoops Game 3 report 2026-06-16; LBA/Olimpia context</x:v>
      </x:c>
      <x:c r="T200" s="10" t="str">
        <x:f>IF(IFERROR(ISNUMBER(SEARCH("http",S200)),FALSE),"YES","NO")</x:f>
        <x:v>NO</x:v>
      </x:c>
      <x:c r="U200" s="10" t="str">
        <x:v>YES</x:v>
      </x:c>
      <x:c r="V200" s="10" t="str">
        <x:v>NO</x:v>
      </x:c>
      <x:c r="W200" s="10" t="str">
        <x:v>LEGACY_UNVERIFIED_SNAPSHOT: no immutable cutoff/model/source packet</x:v>
      </x:c>
      <x:c r="X200" s="10" t="str">
        <x:v>potential_post_event_input_text; exact_complement_selection</x:v>
      </x:c>
    </x:row>
    <x:row r="201">
      <x:c r="A201" s="9" t="n">
        <x:v>197</x:v>
      </x:c>
      <x:c r="B201" s="9" t="str">
        <x:v>AFL-20260618-FRE-GEEL</x:v>
      </x:c>
      <x:c r="C201" s="25" t="str">
        <x:v>2026-06-18</x:v>
      </x:c>
      <x:c r="D201" s="9" t="str">
        <x:v>Australian football</x:v>
      </x:c>
      <x:c r="E201" s="9" t="str">
        <x:v>AFL</x:v>
      </x:c>
      <x:c r="F201" s="10" t="str">
        <x:v>Fremantle vs Geelong Cats</x:v>
      </x:c>
      <x:c r="G201" s="10" t="str">
        <x:v>AFL Round 15</x:v>
      </x:c>
      <x:c r="H201" s="10" t="str">
        <x:v>Full-game handicap and total</x:v>
      </x:c>
      <x:c r="I201" s="9" t="n">
        <x:v>1</x:v>
      </x:c>
      <x:c r="J201" s="10" t="str">
        <x:v>Geelong +19.5</x:v>
      </x:c>
      <x:c r="K201" s="9" t="str">
        <x:v>Geelong +19.5</x:v>
      </x:c>
      <x:c r="L201" s="23" t="n">
        <x:v>0.6</x:v>
      </x:c>
      <x:c r="M201" s="9" t="str">
        <x:v>W</x:v>
      </x:c>
      <x:c r="N201" s="9" t="n">
        <x:f>IF(M201="W",1,IF(M201="L",0,""))</x:f>
        <x:v>1</x:v>
      </x:c>
      <x:c r="O201" s="24" t="n">
        <x:f>IF(OR(M201="W",M201="L"),(L201-N201)^2,"")</x:f>
        <x:v>0.16000000000000003</x:v>
      </x:c>
      <x:c r="P201" s="9" t="str">
        <x:v>YES</x:v>
      </x:c>
      <x:c r="Q201" s="9" t="str">
        <x:v>60-69</x:v>
      </x:c>
      <x:c r="R201" s="9" t="str">
        <x:v>NO</x:v>
      </x:c>
      <x:c r="S201" s="10" t="str">
        <x:v>ESPN AFL API event 1133604 Final opened 2026-06-19 AEST</x:v>
      </x:c>
      <x:c r="T201" s="10" t="str">
        <x:f>IF(IFERROR(ISNUMBER(SEARCH("http",S201)),FALSE),"YES","NO")</x:f>
        <x:v>NO</x:v>
      </x:c>
      <x:c r="U201" s="10" t="str">
        <x:v>NO</x:v>
      </x:c>
      <x:c r="V201" s="10" t="str">
        <x:v>NO</x:v>
      </x:c>
      <x:c r="W201" s="10" t="str">
        <x:v>LEGACY_UNVERIFIED_SNAPSHOT: no immutable cutoff/model/source packet</x:v>
      </x:c>
      <x:c r="X201" s="10" t="str">
        <x:v>exact_complement_selection</x:v>
      </x:c>
    </x:row>
    <x:row r="202">
      <x:c r="A202" s="9" t="n">
        <x:v>198</x:v>
      </x:c>
      <x:c r="B202" s="9" t="str">
        <x:v>AFL-20260618-FRE-GEEL</x:v>
      </x:c>
      <x:c r="C202" s="25" t="str">
        <x:v>2026-06-18</x:v>
      </x:c>
      <x:c r="D202" s="9" t="str">
        <x:v>Australian football</x:v>
      </x:c>
      <x:c r="E202" s="9" t="str">
        <x:v>AFL</x:v>
      </x:c>
      <x:c r="F202" s="10" t="str">
        <x:v>Fremantle vs Geelong Cats</x:v>
      </x:c>
      <x:c r="G202" s="10" t="str">
        <x:v>AFL Round 15</x:v>
      </x:c>
      <x:c r="H202" s="10" t="str">
        <x:v>Full-game handicap and total</x:v>
      </x:c>
      <x:c r="I202" s="9" t="n">
        <x:v>2</x:v>
      </x:c>
      <x:c r="J202" s="10" t="str">
        <x:v>Combined Total Over 176.5 Points</x:v>
      </x:c>
      <x:c r="K202" s="9" t="str">
        <x:v>Over 176.5</x:v>
      </x:c>
      <x:c r="L202" s="23" t="n">
        <x:v>0.56</x:v>
      </x:c>
      <x:c r="M202" s="9" t="str">
        <x:v>W</x:v>
      </x:c>
      <x:c r="N202" s="9" t="n">
        <x:f>IF(M202="W",1,IF(M202="L",0,""))</x:f>
        <x:v>1</x:v>
      </x:c>
      <x:c r="O202" s="24" t="n">
        <x:f>IF(OR(M202="W",M202="L"),(L202-N202)^2,"")</x:f>
        <x:v>0.19359999999999997</x:v>
      </x:c>
      <x:c r="P202" s="9" t="str">
        <x:v>YES</x:v>
      </x:c>
      <x:c r="Q202" s="9" t="str">
        <x:v>50-59</x:v>
      </x:c>
      <x:c r="R202" s="9" t="str">
        <x:v>NO</x:v>
      </x:c>
      <x:c r="S202" s="10" t="str">
        <x:v>ESPN AFL API event 1133604 Final opened 2026-06-19 AEST</x:v>
      </x:c>
      <x:c r="T202" s="10" t="str">
        <x:f>IF(IFERROR(ISNUMBER(SEARCH("http",S202)),FALSE),"YES","NO")</x:f>
        <x:v>NO</x:v>
      </x:c>
      <x:c r="U202" s="10" t="str">
        <x:v>NO</x:v>
      </x:c>
      <x:c r="V202" s="10" t="str">
        <x:v>NO</x:v>
      </x:c>
      <x:c r="W202" s="10" t="str">
        <x:v>LEGACY_UNVERIFIED_SNAPSHOT: no immutable cutoff/model/source packet</x:v>
      </x:c>
      <x:c r="X202" s="10" t="str">
        <x:v>exact_complement_selection</x:v>
      </x:c>
    </x:row>
    <x:row r="203">
      <x:c r="A203" s="9" t="n">
        <x:v>199</x:v>
      </x:c>
      <x:c r="B203" s="9" t="str">
        <x:v>AFL-20260618-FRE-GEEL</x:v>
      </x:c>
      <x:c r="C203" s="25" t="str">
        <x:v>2026-06-18</x:v>
      </x:c>
      <x:c r="D203" s="9" t="str">
        <x:v>Australian football</x:v>
      </x:c>
      <x:c r="E203" s="9" t="str">
        <x:v>AFL</x:v>
      </x:c>
      <x:c r="F203" s="10" t="str">
        <x:v>Fremantle vs Geelong Cats</x:v>
      </x:c>
      <x:c r="G203" s="10" t="str">
        <x:v>AFL Round 15</x:v>
      </x:c>
      <x:c r="H203" s="10" t="str">
        <x:v>Full-game handicap and total</x:v>
      </x:c>
      <x:c r="I203" s="9" t="n">
        <x:v>3</x:v>
      </x:c>
      <x:c r="J203" s="10" t="str">
        <x:v>Combined Total Under 176.5 Points</x:v>
      </x:c>
      <x:c r="K203" s="9" t="str">
        <x:v>Under 176.5</x:v>
      </x:c>
      <x:c r="L203" s="23" t="n">
        <x:v>0.44</x:v>
      </x:c>
      <x:c r="M203" s="9" t="str">
        <x:v>L</x:v>
      </x:c>
      <x:c r="N203" s="9" t="n">
        <x:f>IF(M203="W",1,IF(M203="L",0,""))</x:f>
        <x:v>0</x:v>
      </x:c>
      <x:c r="O203" s="24" t="n">
        <x:f>IF(OR(M203="W",M203="L"),(L203-N203)^2,"")</x:f>
        <x:v>0.1936</x:v>
      </x:c>
      <x:c r="P203" s="9" t="str">
        <x:v>YES</x:v>
      </x:c>
      <x:c r="Q203" s="9" t="str">
        <x:v>40-49</x:v>
      </x:c>
      <x:c r="R203" s="9" t="str">
        <x:v>NO</x:v>
      </x:c>
      <x:c r="S203" s="10" t="str">
        <x:v>ESPN AFL API event 1133604 Final opened 2026-06-19 AEST</x:v>
      </x:c>
      <x:c r="T203" s="10" t="str">
        <x:f>IF(IFERROR(ISNUMBER(SEARCH("http",S203)),FALSE),"YES","NO")</x:f>
        <x:v>NO</x:v>
      </x:c>
      <x:c r="U203" s="10" t="str">
        <x:v>NO</x:v>
      </x:c>
      <x:c r="V203" s="10" t="str">
        <x:v>NO</x:v>
      </x:c>
      <x:c r="W203" s="10" t="str">
        <x:v>LEGACY_UNVERIFIED_SNAPSHOT: no immutable cutoff/model/source packet</x:v>
      </x:c>
      <x:c r="X203" s="10" t="str">
        <x:v>exact_complement_selection</x:v>
      </x:c>
    </x:row>
    <x:row r="204">
      <x:c r="A204" s="9" t="n">
        <x:v>200</x:v>
      </x:c>
      <x:c r="B204" s="9" t="str">
        <x:v>AFL-20260618-FRE-GEEL</x:v>
      </x:c>
      <x:c r="C204" s="25" t="str">
        <x:v>2026-06-18</x:v>
      </x:c>
      <x:c r="D204" s="9" t="str">
        <x:v>Australian football</x:v>
      </x:c>
      <x:c r="E204" s="9" t="str">
        <x:v>AFL</x:v>
      </x:c>
      <x:c r="F204" s="10" t="str">
        <x:v>Fremantle vs Geelong Cats</x:v>
      </x:c>
      <x:c r="G204" s="10" t="str">
        <x:v>AFL Round 15</x:v>
      </x:c>
      <x:c r="H204" s="10" t="str">
        <x:v>Full-game handicap and total</x:v>
      </x:c>
      <x:c r="I204" s="9" t="n">
        <x:v>4</x:v>
      </x:c>
      <x:c r="J204" s="10" t="str">
        <x:v>Fremantle -19.5</x:v>
      </x:c>
      <x:c r="K204" s="9" t="str">
        <x:v>Fremantle -19.5</x:v>
      </x:c>
      <x:c r="L204" s="23" t="n">
        <x:v>0.4</x:v>
      </x:c>
      <x:c r="M204" s="9" t="str">
        <x:v>L</x:v>
      </x:c>
      <x:c r="N204" s="9" t="n">
        <x:f>IF(M204="W",1,IF(M204="L",0,""))</x:f>
        <x:v>0</x:v>
      </x:c>
      <x:c r="O204" s="24" t="n">
        <x:f>IF(OR(M204="W",M204="L"),(L204-N204)^2,"")</x:f>
        <x:v>0.16000000000000003</x:v>
      </x:c>
      <x:c r="P204" s="9" t="str">
        <x:v>YES</x:v>
      </x:c>
      <x:c r="Q204" s="9" t="str">
        <x:v>30-39</x:v>
      </x:c>
      <x:c r="R204" s="9" t="str">
        <x:v>YES</x:v>
      </x:c>
      <x:c r="S204" s="10" t="str">
        <x:v>ESPN AFL API event 1133604 Final opened 2026-06-19 AEST</x:v>
      </x:c>
      <x:c r="T204" s="10" t="str">
        <x:f>IF(IFERROR(ISNUMBER(SEARCH("http",S204)),FALSE),"YES","NO")</x:f>
        <x:v>NO</x:v>
      </x:c>
      <x:c r="U204" s="10" t="str">
        <x:v>NO</x:v>
      </x:c>
      <x:c r="V204" s="10" t="str">
        <x:v>NO</x:v>
      </x:c>
      <x:c r="W204" s="10" t="str">
        <x:v>LEGACY_UNVERIFIED_SNAPSHOT: no immutable cutoff/model/source packet</x:v>
      </x:c>
      <x:c r="X204" s="10" t="str">
        <x:v>exact_complement_selection</x:v>
      </x:c>
    </x:row>
    <x:row r="205">
      <x:c r="A205" s="9" t="n">
        <x:v>201</x:v>
      </x:c>
      <x:c r="B205" s="9" t="str">
        <x:v>SOC-WC2026-20260619-CZE-RSA</x:v>
      </x:c>
      <x:c r="C205" s="25" t="str">
        <x:v>2026-06-19</x:v>
      </x:c>
      <x:c r="D205" s="9" t="str">
        <x:v>Soccer</x:v>
      </x:c>
      <x:c r="E205" s="9" t="str">
        <x:v>Soccer</x:v>
      </x:c>
      <x:c r="F205" s="10" t="str">
        <x:v>Czechia vs South Africa</x:v>
      </x:c>
      <x:c r="G205" s="10" t="str">
        <x:v>FIFA World Cup 2026 Group A</x:v>
      </x:c>
      <x:c r="H205" s="10" t="str">
        <x:v>Self-selected team totals, full total and double chance</x:v>
      </x:c>
      <x:c r="I205" s="9" t="n">
        <x:v>1</x:v>
      </x:c>
      <x:c r="J205" s="10" t="str">
        <x:v>South Africa team total Under 2.5 goals</x:v>
      </x:c>
      <x:c r="K205" s="9" t="str">
        <x:v>South Africa Under 2.5</x:v>
      </x:c>
      <x:c r="L205" s="23" t="n">
        <x:v>0.84</x:v>
      </x:c>
      <x:c r="M205" s="9" t="str">
        <x:v>W</x:v>
      </x:c>
      <x:c r="N205" s="9" t="n">
        <x:f>IF(M205="W",1,IF(M205="L",0,""))</x:f>
        <x:v>1</x:v>
      </x:c>
      <x:c r="O205" s="24" t="n">
        <x:f>IF(OR(M205="W",M205="L"),(L205-N205)^2,"")</x:f>
        <x:v>0.02560000000000001</x:v>
      </x:c>
      <x:c r="P205" s="9" t="str">
        <x:v>NO</x:v>
      </x:c>
      <x:c r="Q205" s="9" t="str">
        <x:v>80-89</x:v>
      </x:c>
      <x:c r="R205" s="9" t="str">
        <x:v>NO</x:v>
      </x:c>
      <x:c r="S205" s="10" t="str">
        <x:v>ESPN soccer summary API final checked 2026-06-19 AEST</x:v>
      </x:c>
      <x:c r="T205" s="10" t="str">
        <x:f>IF(IFERROR(ISNUMBER(SEARCH("http",S205)),FALSE),"YES","NO")</x:f>
        <x:v>NO</x:v>
      </x:c>
      <x:c r="U205" s="10" t="str">
        <x:v>NO</x:v>
      </x:c>
      <x:c r="V205" s="10" t="str">
        <x:v>NO</x:v>
      </x:c>
      <x:c r="W205" s="10" t="str">
        <x:v>LEGACY_UNVERIFIED_SNAPSHOT: no immutable cutoff/model/source packet</x:v>
      </x:c>
      <x:c r="X205" s="10" t="str">
        <x:v>legacy schema only</x:v>
      </x:c>
    </x:row>
    <x:row r="206">
      <x:c r="A206" s="9" t="n">
        <x:v>202</x:v>
      </x:c>
      <x:c r="B206" s="9" t="str">
        <x:v>SOC-WC2026-20260619-CZE-RSA</x:v>
      </x:c>
      <x:c r="C206" s="25" t="str">
        <x:v>2026-06-19</x:v>
      </x:c>
      <x:c r="D206" s="9" t="str">
        <x:v>Soccer</x:v>
      </x:c>
      <x:c r="E206" s="9" t="str">
        <x:v>Soccer</x:v>
      </x:c>
      <x:c r="F206" s="10" t="str">
        <x:v>Czechia vs South Africa</x:v>
      </x:c>
      <x:c r="G206" s="10" t="str">
        <x:v>FIFA World Cup 2026 Group A</x:v>
      </x:c>
      <x:c r="H206" s="10" t="str">
        <x:v>Self-selected team totals, full total and double chance</x:v>
      </x:c>
      <x:c r="I206" s="9" t="n">
        <x:v>2</x:v>
      </x:c>
      <x:c r="J206" s="10" t="str">
        <x:v>Combined Final Total Under 4.5 goals</x:v>
      </x:c>
      <x:c r="K206" s="9" t="str">
        <x:v>Under 4.5</x:v>
      </x:c>
      <x:c r="L206" s="23" t="n">
        <x:v>0.82</x:v>
      </x:c>
      <x:c r="M206" s="9" t="str">
        <x:v>W</x:v>
      </x:c>
      <x:c r="N206" s="9" t="n">
        <x:f>IF(M206="W",1,IF(M206="L",0,""))</x:f>
        <x:v>1</x:v>
      </x:c>
      <x:c r="O206" s="24" t="n">
        <x:f>IF(OR(M206="W",M206="L"),(L206-N206)^2,"")</x:f>
        <x:v>0.03240000000000002</x:v>
      </x:c>
      <x:c r="P206" s="9" t="str">
        <x:v>NO</x:v>
      </x:c>
      <x:c r="Q206" s="9" t="str">
        <x:v>80-89</x:v>
      </x:c>
      <x:c r="R206" s="9" t="str">
        <x:v>NO</x:v>
      </x:c>
      <x:c r="S206" s="10" t="str">
        <x:v>ESPN soccer summary API final checked 2026-06-19 AEST</x:v>
      </x:c>
      <x:c r="T206" s="10" t="str">
        <x:f>IF(IFERROR(ISNUMBER(SEARCH("http",S206)),FALSE),"YES","NO")</x:f>
        <x:v>NO</x:v>
      </x:c>
      <x:c r="U206" s="10" t="str">
        <x:v>NO</x:v>
      </x:c>
      <x:c r="V206" s="10" t="str">
        <x:v>NO</x:v>
      </x:c>
      <x:c r="W206" s="10" t="str">
        <x:v>LEGACY_UNVERIFIED_SNAPSHOT: no immutable cutoff/model/source packet</x:v>
      </x:c>
      <x:c r="X206" s="10" t="str">
        <x:v>legacy schema only</x:v>
      </x:c>
    </x:row>
    <x:row r="207">
      <x:c r="A207" s="9" t="n">
        <x:v>203</x:v>
      </x:c>
      <x:c r="B207" s="9" t="str">
        <x:v>SOC-WC2026-20260619-CZE-RSA</x:v>
      </x:c>
      <x:c r="C207" s="25" t="str">
        <x:v>2026-06-19</x:v>
      </x:c>
      <x:c r="D207" s="9" t="str">
        <x:v>Soccer</x:v>
      </x:c>
      <x:c r="E207" s="9" t="str">
        <x:v>Soccer</x:v>
      </x:c>
      <x:c r="F207" s="10" t="str">
        <x:v>Czechia vs South Africa</x:v>
      </x:c>
      <x:c r="G207" s="10" t="str">
        <x:v>FIFA World Cup 2026 Group A</x:v>
      </x:c>
      <x:c r="H207" s="10" t="str">
        <x:v>Self-selected team totals, full total and double chance</x:v>
      </x:c>
      <x:c r="I207" s="9" t="n">
        <x:v>3</x:v>
      </x:c>
      <x:c r="J207" s="10" t="str">
        <x:v>Czechia team total Over 0.5 goals</x:v>
      </x:c>
      <x:c r="K207" s="9" t="str">
        <x:v>Czechia Over 0.5</x:v>
      </x:c>
      <x:c r="L207" s="23" t="n">
        <x:v>0.7</x:v>
      </x:c>
      <x:c r="M207" s="9" t="str">
        <x:v>W</x:v>
      </x:c>
      <x:c r="N207" s="9" t="n">
        <x:f>IF(M207="W",1,IF(M207="L",0,""))</x:f>
        <x:v>1</x:v>
      </x:c>
      <x:c r="O207" s="24" t="n">
        <x:f>IF(OR(M207="W",M207="L"),(L207-N207)^2,"")</x:f>
        <x:v>0.09000000000000002</x:v>
      </x:c>
      <x:c r="P207" s="9" t="str">
        <x:v>NO</x:v>
      </x:c>
      <x:c r="Q207" s="9" t="str">
        <x:v>70-79</x:v>
      </x:c>
      <x:c r="R207" s="9" t="str">
        <x:v>NO</x:v>
      </x:c>
      <x:c r="S207" s="10" t="str">
        <x:v>ESPN soccer summary API final checked 2026-06-19 AEST</x:v>
      </x:c>
      <x:c r="T207" s="10" t="str">
        <x:f>IF(IFERROR(ISNUMBER(SEARCH("http",S207)),FALSE),"YES","NO")</x:f>
        <x:v>NO</x:v>
      </x:c>
      <x:c r="U207" s="10" t="str">
        <x:v>NO</x:v>
      </x:c>
      <x:c r="V207" s="10" t="str">
        <x:v>NO</x:v>
      </x:c>
      <x:c r="W207" s="10" t="str">
        <x:v>LEGACY_UNVERIFIED_SNAPSHOT: no immutable cutoff/model/source packet</x:v>
      </x:c>
      <x:c r="X207" s="10" t="str">
        <x:v>legacy schema only</x:v>
      </x:c>
    </x:row>
    <x:row r="208">
      <x:c r="A208" s="9" t="n">
        <x:v>204</x:v>
      </x:c>
      <x:c r="B208" s="9" t="str">
        <x:v>SOC-WC2026-20260619-CZE-RSA</x:v>
      </x:c>
      <x:c r="C208" s="25" t="str">
        <x:v>2026-06-19</x:v>
      </x:c>
      <x:c r="D208" s="9" t="str">
        <x:v>Soccer</x:v>
      </x:c>
      <x:c r="E208" s="9" t="str">
        <x:v>Soccer</x:v>
      </x:c>
      <x:c r="F208" s="10" t="str">
        <x:v>Czechia vs South Africa</x:v>
      </x:c>
      <x:c r="G208" s="10" t="str">
        <x:v>FIFA World Cup 2026 Group A</x:v>
      </x:c>
      <x:c r="H208" s="10" t="str">
        <x:v>Self-selected team totals, full total and double chance</x:v>
      </x:c>
      <x:c r="I208" s="9" t="n">
        <x:v>4</x:v>
      </x:c>
      <x:c r="J208" s="10" t="str">
        <x:v>Czechia or Draw / South Africa not to win</x:v>
      </x:c>
      <x:c r="K208" s="9" t="str">
        <x:v>Czechia double chance</x:v>
      </x:c>
      <x:c r="L208" s="23" t="n">
        <x:v>0.66</x:v>
      </x:c>
      <x:c r="M208" s="9" t="str">
        <x:v>W</x:v>
      </x:c>
      <x:c r="N208" s="9" t="n">
        <x:f>IF(M208="W",1,IF(M208="L",0,""))</x:f>
        <x:v>1</x:v>
      </x:c>
      <x:c r="O208" s="24" t="n">
        <x:f>IF(OR(M208="W",M208="L"),(L208-N208)^2,"")</x:f>
        <x:v>0.11559999999999998</x:v>
      </x:c>
      <x:c r="P208" s="9" t="str">
        <x:v>NO</x:v>
      </x:c>
      <x:c r="Q208" s="9" t="str">
        <x:v>60-69</x:v>
      </x:c>
      <x:c r="R208" s="9" t="str">
        <x:v>NO</x:v>
      </x:c>
      <x:c r="S208" s="10" t="str">
        <x:v>ESPN soccer summary API final checked 2026-06-19 AEST</x:v>
      </x:c>
      <x:c r="T208" s="10" t="str">
        <x:f>IF(IFERROR(ISNUMBER(SEARCH("http",S208)),FALSE),"YES","NO")</x:f>
        <x:v>NO</x:v>
      </x:c>
      <x:c r="U208" s="10" t="str">
        <x:v>NO</x:v>
      </x:c>
      <x:c r="V208" s="10" t="str">
        <x:v>NO</x:v>
      </x:c>
      <x:c r="W208" s="10" t="str">
        <x:v>LEGACY_UNVERIFIED_SNAPSHOT: no immutable cutoff/model/source packet</x:v>
      </x:c>
      <x:c r="X208" s="10" t="str">
        <x:v>legacy schema only</x:v>
      </x:c>
    </x:row>
    <x:row r="209">
      <x:c r="A209" s="9" t="n">
        <x:v>205</x:v>
      </x:c>
      <x:c r="B209" s="9" t="str">
        <x:v>CRICKET-WT20WC-20260619-WIW-SCOW</x:v>
      </x:c>
      <x:c r="C209" s="25" t="str">
        <x:v>2026-06-19</x:v>
      </x:c>
      <x:c r="D209" s="9" t="str">
        <x:v>Cricket</x:v>
      </x:c>
      <x:c r="E209" s="9" t="str">
        <x:v>Cricket</x:v>
      </x:c>
      <x:c r="F209" s="10" t="str">
        <x:v>West Indies Women vs Scotland Women</x:v>
      </x:c>
      <x:c r="G209" s="10" t="str">
        <x:v>ICC Women's T20 World Cup 2026 Group B</x:v>
      </x:c>
      <x:c r="H209" s="10" t="str">
        <x:v>West Indies first innings full total 164.5 and powerplay total 45.5</x:v>
      </x:c>
      <x:c r="I209" s="9" t="n">
        <x:v>1</x:v>
      </x:c>
      <x:c r="J209" s="10" t="str">
        <x:v>West Indies 1st innings 20 overs Over 164.5 runs</x:v>
      </x:c>
      <x:c r="K209" s="9" t="str">
        <x:v>Over 164.5</x:v>
      </x:c>
      <x:c r="L209" s="23" t="n">
        <x:v>0.56</x:v>
      </x:c>
      <x:c r="M209" s="9" t="str">
        <x:v>L</x:v>
      </x:c>
      <x:c r="N209" s="9" t="n">
        <x:f>IF(M209="W",1,IF(M209="L",0,""))</x:f>
        <x:v>0</x:v>
      </x:c>
      <x:c r="O209" s="24" t="n">
        <x:f>IF(OR(M209="W",M209="L"),(L209-N209)^2,"")</x:f>
        <x:v>0.31360000000000005</x:v>
      </x:c>
      <x:c r="P209" s="9" t="str">
        <x:v>YES</x:v>
      </x:c>
      <x:c r="Q209" s="9" t="str">
        <x:v>50-59</x:v>
      </x:c>
      <x:c r="R209" s="9" t="str">
        <x:v>NO</x:v>
      </x:c>
      <x:c r="S209" s="10" t="str">
        <x:v>Cricbuzz scorecard final checked 2026-06-19 AEST</x:v>
      </x:c>
      <x:c r="T209" s="10" t="str">
        <x:f>IF(IFERROR(ISNUMBER(SEARCH("http",S209)),FALSE),"YES","NO")</x:f>
        <x:v>NO</x:v>
      </x:c>
      <x:c r="U209" s="10" t="str">
        <x:v>NO</x:v>
      </x:c>
      <x:c r="V209" s="10" t="str">
        <x:v>NO</x:v>
      </x:c>
      <x:c r="W209" s="10" t="str">
        <x:v>LEGACY_UNVERIFIED_SNAPSHOT: no immutable cutoff/model/source packet</x:v>
      </x:c>
      <x:c r="X209" s="10" t="str">
        <x:v>projection_error; rank_error; exact_complement_selection</x:v>
      </x:c>
    </x:row>
    <x:row r="210">
      <x:c r="A210" s="9" t="n">
        <x:v>206</x:v>
      </x:c>
      <x:c r="B210" s="9" t="str">
        <x:v>CRICKET-WT20WC-20260619-WIW-SCOW</x:v>
      </x:c>
      <x:c r="C210" s="25" t="str">
        <x:v>2026-06-19</x:v>
      </x:c>
      <x:c r="D210" s="9" t="str">
        <x:v>Cricket</x:v>
      </x:c>
      <x:c r="E210" s="9" t="str">
        <x:v>Cricket</x:v>
      </x:c>
      <x:c r="F210" s="10" t="str">
        <x:v>West Indies Women vs Scotland Women</x:v>
      </x:c>
      <x:c r="G210" s="10" t="str">
        <x:v>ICC Women's T20 World Cup 2026 Group B</x:v>
      </x:c>
      <x:c r="H210" s="10" t="str">
        <x:v>West Indies first innings full total 164.5 and powerplay total 45.5</x:v>
      </x:c>
      <x:c r="I210" s="9" t="n">
        <x:v>2</x:v>
      </x:c>
      <x:c r="J210" s="10" t="str">
        <x:v>West Indies powerplay Over 45.5 runs</x:v>
      </x:c>
      <x:c r="K210" s="9" t="str">
        <x:v>Powerplay Over 45.5</x:v>
      </x:c>
      <x:c r="L210" s="23" t="n">
        <x:v>0.54</x:v>
      </x:c>
      <x:c r="M210" s="9" t="str">
        <x:v>L</x:v>
      </x:c>
      <x:c r="N210" s="9" t="n">
        <x:f>IF(M210="W",1,IF(M210="L",0,""))</x:f>
        <x:v>0</x:v>
      </x:c>
      <x:c r="O210" s="24" t="n">
        <x:f>IF(OR(M210="W",M210="L"),(L210-N210)^2,"")</x:f>
        <x:v>0.2916</x:v>
      </x:c>
      <x:c r="P210" s="9" t="str">
        <x:v>YES</x:v>
      </x:c>
      <x:c r="Q210" s="9" t="str">
        <x:v>50-59</x:v>
      </x:c>
      <x:c r="R210" s="9" t="str">
        <x:v>NO</x:v>
      </x:c>
      <x:c r="S210" s="10" t="str">
        <x:v>Cricbuzz scorecard final checked 2026-06-19 AEST</x:v>
      </x:c>
      <x:c r="T210" s="10" t="str">
        <x:f>IF(IFERROR(ISNUMBER(SEARCH("http",S210)),FALSE),"YES","NO")</x:f>
        <x:v>NO</x:v>
      </x:c>
      <x:c r="U210" s="10" t="str">
        <x:v>NO</x:v>
      </x:c>
      <x:c r="V210" s="10" t="str">
        <x:v>NO</x:v>
      </x:c>
      <x:c r="W210" s="10" t="str">
        <x:v>LEGACY_UNVERIFIED_SNAPSHOT: no immutable cutoff/model/source packet</x:v>
      </x:c>
      <x:c r="X210" s="10" t="str">
        <x:v>projection_error; rank_error; exact_complement_selection</x:v>
      </x:c>
    </x:row>
    <x:row r="211">
      <x:c r="A211" s="9" t="n">
        <x:v>207</x:v>
      </x:c>
      <x:c r="B211" s="9" t="str">
        <x:v>CRICKET-WT20WC-20260619-WIW-SCOW</x:v>
      </x:c>
      <x:c r="C211" s="25" t="str">
        <x:v>2026-06-19</x:v>
      </x:c>
      <x:c r="D211" s="9" t="str">
        <x:v>Cricket</x:v>
      </x:c>
      <x:c r="E211" s="9" t="str">
        <x:v>Cricket</x:v>
      </x:c>
      <x:c r="F211" s="10" t="str">
        <x:v>West Indies Women vs Scotland Women</x:v>
      </x:c>
      <x:c r="G211" s="10" t="str">
        <x:v>ICC Women's T20 World Cup 2026 Group B</x:v>
      </x:c>
      <x:c r="H211" s="10" t="str">
        <x:v>West Indies first innings full total 164.5 and powerplay total 45.5</x:v>
      </x:c>
      <x:c r="I211" s="9" t="n">
        <x:v>3</x:v>
      </x:c>
      <x:c r="J211" s="10" t="str">
        <x:v>West Indies powerplay Under 45.5 runs</x:v>
      </x:c>
      <x:c r="K211" s="9" t="str">
        <x:v>Powerplay Under 45.5</x:v>
      </x:c>
      <x:c r="L211" s="23" t="n">
        <x:v>0.46</x:v>
      </x:c>
      <x:c r="M211" s="9" t="str">
        <x:v>W</x:v>
      </x:c>
      <x:c r="N211" s="9" t="n">
        <x:f>IF(M211="W",1,IF(M211="L",0,""))</x:f>
        <x:v>1</x:v>
      </x:c>
      <x:c r="O211" s="24" t="n">
        <x:f>IF(OR(M211="W",M211="L"),(L211-N211)^2,"")</x:f>
        <x:v>0.2916</x:v>
      </x:c>
      <x:c r="P211" s="9" t="str">
        <x:v>YES</x:v>
      </x:c>
      <x:c r="Q211" s="9" t="str">
        <x:v>40-49</x:v>
      </x:c>
      <x:c r="R211" s="9" t="str">
        <x:v>NO</x:v>
      </x:c>
      <x:c r="S211" s="10" t="str">
        <x:v>Cricbuzz scorecard final checked 2026-06-19 AEST</x:v>
      </x:c>
      <x:c r="T211" s="10" t="str">
        <x:f>IF(IFERROR(ISNUMBER(SEARCH("http",S211)),FALSE),"YES","NO")</x:f>
        <x:v>NO</x:v>
      </x:c>
      <x:c r="U211" s="10" t="str">
        <x:v>NO</x:v>
      </x:c>
      <x:c r="V211" s="10" t="str">
        <x:v>NO</x:v>
      </x:c>
      <x:c r="W211" s="10" t="str">
        <x:v>LEGACY_UNVERIFIED_SNAPSHOT: no immutable cutoff/model/source packet</x:v>
      </x:c>
      <x:c r="X211" s="10" t="str">
        <x:v>projection_error; rank_error; exact_complement_selection</x:v>
      </x:c>
    </x:row>
    <x:row r="212">
      <x:c r="A212" s="9" t="n">
        <x:v>208</x:v>
      </x:c>
      <x:c r="B212" s="9" t="str">
        <x:v>CRICKET-WT20WC-20260619-WIW-SCOW</x:v>
      </x:c>
      <x:c r="C212" s="25" t="str">
        <x:v>2026-06-19</x:v>
      </x:c>
      <x:c r="D212" s="9" t="str">
        <x:v>Cricket</x:v>
      </x:c>
      <x:c r="E212" s="9" t="str">
        <x:v>Cricket</x:v>
      </x:c>
      <x:c r="F212" s="10" t="str">
        <x:v>West Indies Women vs Scotland Women</x:v>
      </x:c>
      <x:c r="G212" s="10" t="str">
        <x:v>ICC Women's T20 World Cup 2026 Group B</x:v>
      </x:c>
      <x:c r="H212" s="10" t="str">
        <x:v>West Indies first innings full total 164.5 and powerplay total 45.5</x:v>
      </x:c>
      <x:c r="I212" s="9" t="n">
        <x:v>4</x:v>
      </x:c>
      <x:c r="J212" s="10" t="str">
        <x:v>West Indies 1st innings 20 overs Under 164.5 runs</x:v>
      </x:c>
      <x:c r="K212" s="9" t="str">
        <x:v>Under 164.5</x:v>
      </x:c>
      <x:c r="L212" s="23" t="n">
        <x:v>0.44</x:v>
      </x:c>
      <x:c r="M212" s="9" t="str">
        <x:v>W</x:v>
      </x:c>
      <x:c r="N212" s="9" t="n">
        <x:f>IF(M212="W",1,IF(M212="L",0,""))</x:f>
        <x:v>1</x:v>
      </x:c>
      <x:c r="O212" s="24" t="n">
        <x:f>IF(OR(M212="W",M212="L"),(L212-N212)^2,"")</x:f>
        <x:v>0.31360000000000005</x:v>
      </x:c>
      <x:c r="P212" s="9" t="str">
        <x:v>YES</x:v>
      </x:c>
      <x:c r="Q212" s="9" t="str">
        <x:v>40-49</x:v>
      </x:c>
      <x:c r="R212" s="9" t="str">
        <x:v>NO</x:v>
      </x:c>
      <x:c r="S212" s="10" t="str">
        <x:v>Cricbuzz scorecard final checked 2026-06-19 AEST</x:v>
      </x:c>
      <x:c r="T212" s="10" t="str">
        <x:f>IF(IFERROR(ISNUMBER(SEARCH("http",S212)),FALSE),"YES","NO")</x:f>
        <x:v>NO</x:v>
      </x:c>
      <x:c r="U212" s="10" t="str">
        <x:v>NO</x:v>
      </x:c>
      <x:c r="V212" s="10" t="str">
        <x:v>NO</x:v>
      </x:c>
      <x:c r="W212" s="10" t="str">
        <x:v>LEGACY_UNVERIFIED_SNAPSHOT: no immutable cutoff/model/source packet</x:v>
      </x:c>
      <x:c r="X212" s="10" t="str">
        <x:v>projection_error; rank_error; exact_complement_selection</x:v>
      </x:c>
    </x:row>
    <x:row r="213">
      <x:c r="A213" s="9" t="n">
        <x:v>209</x:v>
      </x:c>
      <x:c r="B213" s="9" t="str">
        <x:v>MLB-20260619-TOR-BOS</x:v>
      </x:c>
      <x:c r="C213" s="25" t="str">
        <x:v>2026-06-19</x:v>
      </x:c>
      <x:c r="D213" s="9" t="str">
        <x:v>Baseball</x:v>
      </x:c>
      <x:c r="E213" s="9" t="str">
        <x:v>Baseball/MLB</x:v>
      </x:c>
      <x:c r="F213" s="10" t="str">
        <x:v>Toronto Blue Jays @ Boston Red Sox</x:v>
      </x:c>
      <x:c r="G213" s="10" t="str">
        <x:v>MLB regular season</x:v>
      </x:c>
      <x:c r="H213" s="10" t="str">
        <x:v>Blue Jays +1.5, Red Sox +0.5, full-game total 9.5</x:v>
      </x:c>
      <x:c r="I213" s="9" t="n">
        <x:v>1</x:v>
      </x:c>
      <x:c r="J213" s="10" t="str">
        <x:v>Blue Jays +1.5</x:v>
      </x:c>
      <x:c r="K213" s="9" t="str">
        <x:v>TOR +1.5</x:v>
      </x:c>
      <x:c r="L213" s="23" t="n">
        <x:v>0.62</x:v>
      </x:c>
      <x:c r="M213" s="9" t="str">
        <x:v>W</x:v>
      </x:c>
      <x:c r="N213" s="9" t="n">
        <x:f>IF(M213="W",1,IF(M213="L",0,""))</x:f>
        <x:v>1</x:v>
      </x:c>
      <x:c r="O213" s="24" t="n">
        <x:f>IF(OR(M213="W",M213="L"),(L213-N213)^2,"")</x:f>
        <x:v>0.1444</x:v>
      </x:c>
      <x:c r="P213" s="9" t="str">
        <x:v>NO</x:v>
      </x:c>
      <x:c r="Q213" s="9" t="str">
        <x:v>60-69</x:v>
      </x:c>
      <x:c r="R213" s="9" t="str">
        <x:v>NO</x:v>
      </x:c>
      <x:c r="S213" s="10" t="str">
        <x:v>Official MLB Stats API feed/live final checked 2026-06-19 AEST</x:v>
      </x:c>
      <x:c r="T213" s="10" t="str">
        <x:f>IF(IFERROR(ISNUMBER(SEARCH("http",S213)),FALSE),"YES","NO")</x:f>
        <x:v>NO</x:v>
      </x:c>
      <x:c r="U213" s="10" t="str">
        <x:v>NO</x:v>
      </x:c>
      <x:c r="V213" s="10" t="str">
        <x:v>NO</x:v>
      </x:c>
      <x:c r="W213" s="10" t="str">
        <x:v>LEGACY_UNVERIFIED_SNAPSHOT: no immutable cutoff/model/source packet</x:v>
      </x:c>
      <x:c r="X213" s="10" t="str">
        <x:v>legacy schema only</x:v>
      </x:c>
    </x:row>
    <x:row r="214">
      <x:c r="A214" s="9" t="n">
        <x:v>210</x:v>
      </x:c>
      <x:c r="B214" s="9" t="str">
        <x:v>MLB-20260619-TOR-BOS</x:v>
      </x:c>
      <x:c r="C214" s="25" t="str">
        <x:v>2026-06-19</x:v>
      </x:c>
      <x:c r="D214" s="9" t="str">
        <x:v>Baseball</x:v>
      </x:c>
      <x:c r="E214" s="9" t="str">
        <x:v>Baseball/MLB</x:v>
      </x:c>
      <x:c r="F214" s="10" t="str">
        <x:v>Toronto Blue Jays @ Boston Red Sox</x:v>
      </x:c>
      <x:c r="G214" s="10" t="str">
        <x:v>MLB regular season</x:v>
      </x:c>
      <x:c r="H214" s="10" t="str">
        <x:v>Blue Jays +1.5, Red Sox +0.5, full-game total 9.5</x:v>
      </x:c>
      <x:c r="I214" s="9" t="n">
        <x:v>2</x:v>
      </x:c>
      <x:c r="J214" s="10" t="str">
        <x:v>Combined Total Under 9.5 runs</x:v>
      </x:c>
      <x:c r="K214" s="9" t="str">
        <x:v>Under 9.5</x:v>
      </x:c>
      <x:c r="L214" s="23" t="n">
        <x:v>0.55</x:v>
      </x:c>
      <x:c r="M214" s="9" t="str">
        <x:v>W</x:v>
      </x:c>
      <x:c r="N214" s="9" t="n">
        <x:f>IF(M214="W",1,IF(M214="L",0,""))</x:f>
        <x:v>1</x:v>
      </x:c>
      <x:c r="O214" s="24" t="n">
        <x:f>IF(OR(M214="W",M214="L"),(L214-N214)^2,"")</x:f>
        <x:v>0.20249999999999996</x:v>
      </x:c>
      <x:c r="P214" s="9" t="str">
        <x:v>YES</x:v>
      </x:c>
      <x:c r="Q214" s="9" t="str">
        <x:v>50-59</x:v>
      </x:c>
      <x:c r="R214" s="9" t="str">
        <x:v>NO</x:v>
      </x:c>
      <x:c r="S214" s="10" t="str">
        <x:v>Official MLB Stats API feed/live final checked 2026-06-19 AEST</x:v>
      </x:c>
      <x:c r="T214" s="10" t="str">
        <x:f>IF(IFERROR(ISNUMBER(SEARCH("http",S214)),FALSE),"YES","NO")</x:f>
        <x:v>NO</x:v>
      </x:c>
      <x:c r="U214" s="10" t="str">
        <x:v>NO</x:v>
      </x:c>
      <x:c r="V214" s="10" t="str">
        <x:v>NO</x:v>
      </x:c>
      <x:c r="W214" s="10" t="str">
        <x:v>LEGACY_UNVERIFIED_SNAPSHOT: no immutable cutoff/model/source packet</x:v>
      </x:c>
      <x:c r="X214" s="10" t="str">
        <x:v>exact_complement_selection</x:v>
      </x:c>
    </x:row>
    <x:row r="215">
      <x:c r="A215" s="9" t="n">
        <x:v>211</x:v>
      </x:c>
      <x:c r="B215" s="9" t="str">
        <x:v>MLB-20260619-TOR-BOS</x:v>
      </x:c>
      <x:c r="C215" s="25" t="str">
        <x:v>2026-06-19</x:v>
      </x:c>
      <x:c r="D215" s="9" t="str">
        <x:v>Baseball</x:v>
      </x:c>
      <x:c r="E215" s="9" t="str">
        <x:v>Baseball/MLB</x:v>
      </x:c>
      <x:c r="F215" s="10" t="str">
        <x:v>Toronto Blue Jays @ Boston Red Sox</x:v>
      </x:c>
      <x:c r="G215" s="10" t="str">
        <x:v>MLB regular season</x:v>
      </x:c>
      <x:c r="H215" s="10" t="str">
        <x:v>Blue Jays +1.5, Red Sox +0.5, full-game total 9.5</x:v>
      </x:c>
      <x:c r="I215" s="9" t="n">
        <x:v>3</x:v>
      </x:c>
      <x:c r="J215" s="10" t="str">
        <x:v>Red Sox +0.5 / Red Sox to win</x:v>
      </x:c>
      <x:c r="K215" s="9" t="str">
        <x:v>BOS +0.5</x:v>
      </x:c>
      <x:c r="L215" s="23" t="n">
        <x:v>0.52</x:v>
      </x:c>
      <x:c r="M215" s="9" t="str">
        <x:v>L</x:v>
      </x:c>
      <x:c r="N215" s="9" t="n">
        <x:f>IF(M215="W",1,IF(M215="L",0,""))</x:f>
        <x:v>0</x:v>
      </x:c>
      <x:c r="O215" s="24" t="n">
        <x:f>IF(OR(M215="W",M215="L"),(L215-N215)^2,"")</x:f>
        <x:v>0.27040000000000003</x:v>
      </x:c>
      <x:c r="P215" s="9" t="str">
        <x:v>NO</x:v>
      </x:c>
      <x:c r="Q215" s="9" t="str">
        <x:v>50-59</x:v>
      </x:c>
      <x:c r="R215" s="9" t="str">
        <x:v>NO</x:v>
      </x:c>
      <x:c r="S215" s="10" t="str">
        <x:v>Official MLB Stats API feed/live final checked 2026-06-19 AEST</x:v>
      </x:c>
      <x:c r="T215" s="10" t="str">
        <x:f>IF(IFERROR(ISNUMBER(SEARCH("http",S215)),FALSE),"YES","NO")</x:f>
        <x:v>NO</x:v>
      </x:c>
      <x:c r="U215" s="10" t="str">
        <x:v>NO</x:v>
      </x:c>
      <x:c r="V215" s="10" t="str">
        <x:v>NO</x:v>
      </x:c>
      <x:c r="W215" s="10" t="str">
        <x:v>LEGACY_UNVERIFIED_SNAPSHOT: no immutable cutoff/model/source packet</x:v>
      </x:c>
      <x:c r="X215" s="10" t="str">
        <x:v>legacy schema only</x:v>
      </x:c>
    </x:row>
    <x:row r="216">
      <x:c r="A216" s="9" t="n">
        <x:v>212</x:v>
      </x:c>
      <x:c r="B216" s="9" t="str">
        <x:v>MLB-20260619-TOR-BOS</x:v>
      </x:c>
      <x:c r="C216" s="25" t="str">
        <x:v>2026-06-19</x:v>
      </x:c>
      <x:c r="D216" s="9" t="str">
        <x:v>Baseball</x:v>
      </x:c>
      <x:c r="E216" s="9" t="str">
        <x:v>Baseball/MLB</x:v>
      </x:c>
      <x:c r="F216" s="10" t="str">
        <x:v>Toronto Blue Jays @ Boston Red Sox</x:v>
      </x:c>
      <x:c r="G216" s="10" t="str">
        <x:v>MLB regular season</x:v>
      </x:c>
      <x:c r="H216" s="10" t="str">
        <x:v>Blue Jays +1.5, Red Sox +0.5, full-game total 9.5</x:v>
      </x:c>
      <x:c r="I216" s="9" t="n">
        <x:v>4</x:v>
      </x:c>
      <x:c r="J216" s="10" t="str">
        <x:v>Combined Total Over 9.5 runs</x:v>
      </x:c>
      <x:c r="K216" s="9" t="str">
        <x:v>Over 9.5</x:v>
      </x:c>
      <x:c r="L216" s="23" t="n">
        <x:v>0.45</x:v>
      </x:c>
      <x:c r="M216" s="9" t="str">
        <x:v>L</x:v>
      </x:c>
      <x:c r="N216" s="9" t="n">
        <x:f>IF(M216="W",1,IF(M216="L",0,""))</x:f>
        <x:v>0</x:v>
      </x:c>
      <x:c r="O216" s="24" t="n">
        <x:f>IF(OR(M216="W",M216="L"),(L216-N216)^2,"")</x:f>
        <x:v>0.2025</x:v>
      </x:c>
      <x:c r="P216" s="9" t="str">
        <x:v>YES</x:v>
      </x:c>
      <x:c r="Q216" s="9" t="str">
        <x:v>40-49</x:v>
      </x:c>
      <x:c r="R216" s="9" t="str">
        <x:v>NO</x:v>
      </x:c>
      <x:c r="S216" s="10" t="str">
        <x:v>Official MLB Stats API feed/live final checked 2026-06-19 AEST</x:v>
      </x:c>
      <x:c r="T216" s="10" t="str">
        <x:f>IF(IFERROR(ISNUMBER(SEARCH("http",S216)),FALSE),"YES","NO")</x:f>
        <x:v>NO</x:v>
      </x:c>
      <x:c r="U216" s="10" t="str">
        <x:v>NO</x:v>
      </x:c>
      <x:c r="V216" s="10" t="str">
        <x:v>NO</x:v>
      </x:c>
      <x:c r="W216" s="10" t="str">
        <x:v>LEGACY_UNVERIFIED_SNAPSHOT: no immutable cutoff/model/source packet</x:v>
      </x:c>
      <x:c r="X216" s="10" t="str">
        <x:v>exact_complement_selection</x:v>
      </x:c>
    </x:row>
    <x:row r="217">
      <x:c r="A217" s="9" t="n">
        <x:v>213</x:v>
      </x:c>
      <x:c r="B217" s="9" t="str">
        <x:v>MLB-20260619-MIN-TEX</x:v>
      </x:c>
      <x:c r="C217" s="25" t="str">
        <x:v>2026-06-19</x:v>
      </x:c>
      <x:c r="D217" s="9" t="str">
        <x:v>Baseball</x:v>
      </x:c>
      <x:c r="E217" s="9" t="str">
        <x:v>Baseball/MLB</x:v>
      </x:c>
      <x:c r="F217" s="10" t="str">
        <x:v>Minnesota Twins @ Texas Rangers</x:v>
      </x:c>
      <x:c r="G217" s="10" t="str">
        <x:v>MLB regular season</x:v>
      </x:c>
      <x:c r="H217" s="10" t="str">
        <x:v>Twins +1.5, Rangers +0.5, full-game total 7.5</x:v>
      </x:c>
      <x:c r="I217" s="9" t="n">
        <x:v>1</x:v>
      </x:c>
      <x:c r="J217" s="10" t="str">
        <x:v>Twins +1.5</x:v>
      </x:c>
      <x:c r="K217" s="9" t="str">
        <x:v>MIN +1.5</x:v>
      </x:c>
      <x:c r="L217" s="23" t="n">
        <x:v>0.66</x:v>
      </x:c>
      <x:c r="M217" s="9" t="str">
        <x:v>W</x:v>
      </x:c>
      <x:c r="N217" s="9" t="n">
        <x:f>IF(M217="W",1,IF(M217="L",0,""))</x:f>
        <x:v>1</x:v>
      </x:c>
      <x:c r="O217" s="24" t="n">
        <x:f>IF(OR(M217="W",M217="L"),(L217-N217)^2,"")</x:f>
        <x:v>0.11559999999999998</x:v>
      </x:c>
      <x:c r="P217" s="9" t="str">
        <x:v>NO</x:v>
      </x:c>
      <x:c r="Q217" s="9" t="str">
        <x:v>60-69</x:v>
      </x:c>
      <x:c r="R217" s="9" t="str">
        <x:v>NO</x:v>
      </x:c>
      <x:c r="S217" s="10" t="str">
        <x:v>Official MLB Stats API feed/live final checked 2026-06-19 AEST</x:v>
      </x:c>
      <x:c r="T217" s="10" t="str">
        <x:f>IF(IFERROR(ISNUMBER(SEARCH("http",S217)),FALSE),"YES","NO")</x:f>
        <x:v>NO</x:v>
      </x:c>
      <x:c r="U217" s="10" t="str">
        <x:v>NO</x:v>
      </x:c>
      <x:c r="V217" s="10" t="str">
        <x:v>NO</x:v>
      </x:c>
      <x:c r="W217" s="10" t="str">
        <x:v>LEGACY_UNVERIFIED_SNAPSHOT: no immutable cutoff/model/source packet</x:v>
      </x:c>
      <x:c r="X217" s="10" t="str">
        <x:v>legacy schema only</x:v>
      </x:c>
    </x:row>
    <x:row r="218">
      <x:c r="A218" s="9" t="n">
        <x:v>214</x:v>
      </x:c>
      <x:c r="B218" s="9" t="str">
        <x:v>MLB-20260619-MIN-TEX</x:v>
      </x:c>
      <x:c r="C218" s="25" t="str">
        <x:v>2026-06-19</x:v>
      </x:c>
      <x:c r="D218" s="9" t="str">
        <x:v>Baseball</x:v>
      </x:c>
      <x:c r="E218" s="9" t="str">
        <x:v>Baseball/MLB</x:v>
      </x:c>
      <x:c r="F218" s="10" t="str">
        <x:v>Minnesota Twins @ Texas Rangers</x:v>
      </x:c>
      <x:c r="G218" s="10" t="str">
        <x:v>MLB regular season</x:v>
      </x:c>
      <x:c r="H218" s="10" t="str">
        <x:v>Twins +1.5, Rangers +0.5, full-game total 7.5</x:v>
      </x:c>
      <x:c r="I218" s="9" t="n">
        <x:v>2</x:v>
      </x:c>
      <x:c r="J218" s="10" t="str">
        <x:v>Combined Total Over 7.5 runs</x:v>
      </x:c>
      <x:c r="K218" s="9" t="str">
        <x:v>Over 7.5</x:v>
      </x:c>
      <x:c r="L218" s="23" t="n">
        <x:v>0.58</x:v>
      </x:c>
      <x:c r="M218" s="9" t="str">
        <x:v>W</x:v>
      </x:c>
      <x:c r="N218" s="9" t="n">
        <x:f>IF(M218="W",1,IF(M218="L",0,""))</x:f>
        <x:v>1</x:v>
      </x:c>
      <x:c r="O218" s="24" t="n">
        <x:f>IF(OR(M218="W",M218="L"),(L218-N218)^2,"")</x:f>
        <x:v>0.17640000000000003</x:v>
      </x:c>
      <x:c r="P218" s="9" t="str">
        <x:v>YES</x:v>
      </x:c>
      <x:c r="Q218" s="9" t="str">
        <x:v>50-59</x:v>
      </x:c>
      <x:c r="R218" s="9" t="str">
        <x:v>NO</x:v>
      </x:c>
      <x:c r="S218" s="10" t="str">
        <x:v>Official MLB Stats API feed/live final checked 2026-06-19 AEST</x:v>
      </x:c>
      <x:c r="T218" s="10" t="str">
        <x:f>IF(IFERROR(ISNUMBER(SEARCH("http",S218)),FALSE),"YES","NO")</x:f>
        <x:v>NO</x:v>
      </x:c>
      <x:c r="U218" s="10" t="str">
        <x:v>NO</x:v>
      </x:c>
      <x:c r="V218" s="10" t="str">
        <x:v>NO</x:v>
      </x:c>
      <x:c r="W218" s="10" t="str">
        <x:v>LEGACY_UNVERIFIED_SNAPSHOT: no immutable cutoff/model/source packet</x:v>
      </x:c>
      <x:c r="X218" s="10" t="str">
        <x:v>exact_complement_selection</x:v>
      </x:c>
    </x:row>
    <x:row r="219">
      <x:c r="A219" s="9" t="n">
        <x:v>215</x:v>
      </x:c>
      <x:c r="B219" s="9" t="str">
        <x:v>MLB-20260619-MIN-TEX</x:v>
      </x:c>
      <x:c r="C219" s="25" t="str">
        <x:v>2026-06-19</x:v>
      </x:c>
      <x:c r="D219" s="9" t="str">
        <x:v>Baseball</x:v>
      </x:c>
      <x:c r="E219" s="9" t="str">
        <x:v>Baseball/MLB</x:v>
      </x:c>
      <x:c r="F219" s="10" t="str">
        <x:v>Minnesota Twins @ Texas Rangers</x:v>
      </x:c>
      <x:c r="G219" s="10" t="str">
        <x:v>MLB regular season</x:v>
      </x:c>
      <x:c r="H219" s="10" t="str">
        <x:v>Twins +1.5, Rangers +0.5, full-game total 7.5</x:v>
      </x:c>
      <x:c r="I219" s="9" t="n">
        <x:v>3</x:v>
      </x:c>
      <x:c r="J219" s="10" t="str">
        <x:v>Rangers +0.5 / Rangers to win</x:v>
      </x:c>
      <x:c r="K219" s="9" t="str">
        <x:v>TEX +0.5</x:v>
      </x:c>
      <x:c r="L219" s="23" t="n">
        <x:v>0.43</x:v>
      </x:c>
      <x:c r="M219" s="9" t="str">
        <x:v>L</x:v>
      </x:c>
      <x:c r="N219" s="9" t="n">
        <x:f>IF(M219="W",1,IF(M219="L",0,""))</x:f>
        <x:v>0</x:v>
      </x:c>
      <x:c r="O219" s="24" t="n">
        <x:f>IF(OR(M219="W",M219="L"),(L219-N219)^2,"")</x:f>
        <x:v>0.18489999999999998</x:v>
      </x:c>
      <x:c r="P219" s="9" t="str">
        <x:v>NO</x:v>
      </x:c>
      <x:c r="Q219" s="9" t="str">
        <x:v>40-49</x:v>
      </x:c>
      <x:c r="R219" s="9" t="str">
        <x:v>NO</x:v>
      </x:c>
      <x:c r="S219" s="10" t="str">
        <x:v>Official MLB Stats API feed/live final checked 2026-06-19 AEST</x:v>
      </x:c>
      <x:c r="T219" s="10" t="str">
        <x:f>IF(IFERROR(ISNUMBER(SEARCH("http",S219)),FALSE),"YES","NO")</x:f>
        <x:v>NO</x:v>
      </x:c>
      <x:c r="U219" s="10" t="str">
        <x:v>NO</x:v>
      </x:c>
      <x:c r="V219" s="10" t="str">
        <x:v>NO</x:v>
      </x:c>
      <x:c r="W219" s="10" t="str">
        <x:v>LEGACY_UNVERIFIED_SNAPSHOT: no immutable cutoff/model/source packet</x:v>
      </x:c>
      <x:c r="X219" s="10" t="str">
        <x:v>legacy schema only</x:v>
      </x:c>
    </x:row>
    <x:row r="220">
      <x:c r="A220" s="9" t="n">
        <x:v>216</x:v>
      </x:c>
      <x:c r="B220" s="9" t="str">
        <x:v>MLB-20260619-MIN-TEX</x:v>
      </x:c>
      <x:c r="C220" s="25" t="str">
        <x:v>2026-06-19</x:v>
      </x:c>
      <x:c r="D220" s="9" t="str">
        <x:v>Baseball</x:v>
      </x:c>
      <x:c r="E220" s="9" t="str">
        <x:v>Baseball/MLB</x:v>
      </x:c>
      <x:c r="F220" s="10" t="str">
        <x:v>Minnesota Twins @ Texas Rangers</x:v>
      </x:c>
      <x:c r="G220" s="10" t="str">
        <x:v>MLB regular season</x:v>
      </x:c>
      <x:c r="H220" s="10" t="str">
        <x:v>Twins +1.5, Rangers +0.5, full-game total 7.5</x:v>
      </x:c>
      <x:c r="I220" s="9" t="n">
        <x:v>4</x:v>
      </x:c>
      <x:c r="J220" s="10" t="str">
        <x:v>Combined Total Under 7.5 runs</x:v>
      </x:c>
      <x:c r="K220" s="9" t="str">
        <x:v>Under 7.5</x:v>
      </x:c>
      <x:c r="L220" s="23" t="n">
        <x:v>0.42</x:v>
      </x:c>
      <x:c r="M220" s="9" t="str">
        <x:v>L</x:v>
      </x:c>
      <x:c r="N220" s="9" t="n">
        <x:f>IF(M220="W",1,IF(M220="L",0,""))</x:f>
        <x:v>0</x:v>
      </x:c>
      <x:c r="O220" s="24" t="n">
        <x:f>IF(OR(M220="W",M220="L"),(L220-N220)^2,"")</x:f>
        <x:v>0.17639999999999997</x:v>
      </x:c>
      <x:c r="P220" s="9" t="str">
        <x:v>YES</x:v>
      </x:c>
      <x:c r="Q220" s="9" t="str">
        <x:v>40-49</x:v>
      </x:c>
      <x:c r="R220" s="9" t="str">
        <x:v>NO</x:v>
      </x:c>
      <x:c r="S220" s="10" t="str">
        <x:v>Official MLB Stats API feed/live final checked 2026-06-19 AEST</x:v>
      </x:c>
      <x:c r="T220" s="10" t="str">
        <x:f>IF(IFERROR(ISNUMBER(SEARCH("http",S220)),FALSE),"YES","NO")</x:f>
        <x:v>NO</x:v>
      </x:c>
      <x:c r="U220" s="10" t="str">
        <x:v>NO</x:v>
      </x:c>
      <x:c r="V220" s="10" t="str">
        <x:v>NO</x:v>
      </x:c>
      <x:c r="W220" s="10" t="str">
        <x:v>LEGACY_UNVERIFIED_SNAPSHOT: no immutable cutoff/model/source packet</x:v>
      </x:c>
      <x:c r="X220" s="10" t="str">
        <x:v>exact_complement_selection</x:v>
      </x:c>
    </x:row>
    <x:row r="221">
      <x:c r="A221" s="9" t="n">
        <x:v>217</x:v>
      </x:c>
      <x:c r="B221" s="9" t="str">
        <x:v>SOC-WC2026-20260619-SUI-BIH</x:v>
      </x:c>
      <x:c r="C221" s="25" t="str">
        <x:v>2026-06-19</x:v>
      </x:c>
      <x:c r="D221" s="9" t="str">
        <x:v>Soccer</x:v>
      </x:c>
      <x:c r="E221" s="9" t="str">
        <x:v>Soccer/FIFA World Cup</x:v>
      </x:c>
      <x:c r="F221" s="10" t="str">
        <x:v>Switzerland vs Bosnia-Herzegovina</x:v>
      </x:c>
      <x:c r="G221" s="10" t="str">
        <x:v>FIFA World Cup 2026 Group B</x:v>
      </x:c>
      <x:c r="H221" s="10" t="str">
        <x:v>Self-selected regulation outcomes and fade outcomes</x:v>
      </x:c>
      <x:c r="I221" s="9" t="n">
        <x:v>1</x:v>
      </x:c>
      <x:c r="J221" s="10" t="str">
        <x:v>Combined Total Under 4.5 goals</x:v>
      </x:c>
      <x:c r="K221" s="9" t="str">
        <x:v>Under 4.5</x:v>
      </x:c>
      <x:c r="L221" s="23" t="n">
        <x:v>0.84</x:v>
      </x:c>
      <x:c r="M221" s="9" t="str">
        <x:v>L</x:v>
      </x:c>
      <x:c r="N221" s="9" t="n">
        <x:f>IF(M221="W",1,IF(M221="L",0,""))</x:f>
        <x:v>0</x:v>
      </x:c>
      <x:c r="O221" s="24" t="n">
        <x:f>IF(OR(M221="W",M221="L"),(L221-N221)^2,"")</x:f>
        <x:v>0.7055999999999999</x:v>
      </x:c>
      <x:c r="P221" s="9" t="str">
        <x:v>NO</x:v>
      </x:c>
      <x:c r="Q221" s="9" t="str">
        <x:v>80-89</x:v>
      </x:c>
      <x:c r="R221" s="9" t="str">
        <x:v>NO</x:v>
      </x:c>
      <x:c r="S221" s="10" t="str">
        <x:v>ESPN soccer summary/scoreboard checked 2026-06-19 09:28 AEST</x:v>
      </x:c>
      <x:c r="T221" s="10" t="str">
        <x:f>IF(IFERROR(ISNUMBER(SEARCH("http",S221)),FALSE),"YES","NO")</x:f>
        <x:v>NO</x:v>
      </x:c>
      <x:c r="U221" s="10" t="str">
        <x:v>NO</x:v>
      </x:c>
      <x:c r="V221" s="10" t="str">
        <x:v>NO</x:v>
      </x:c>
      <x:c r="W221" s="10" t="str">
        <x:v>LEGACY_UNVERIFIED_SNAPSHOT: no immutable cutoff/model/source packet</x:v>
      </x:c>
      <x:c r="X221" s="10" t="str">
        <x:v>projection_error</x:v>
      </x:c>
    </x:row>
    <x:row r="222">
      <x:c r="A222" s="9" t="n">
        <x:v>218</x:v>
      </x:c>
      <x:c r="B222" s="9" t="str">
        <x:v>SOC-WC2026-20260619-SUI-BIH</x:v>
      </x:c>
      <x:c r="C222" s="25" t="str">
        <x:v>2026-06-19</x:v>
      </x:c>
      <x:c r="D222" s="9" t="str">
        <x:v>Soccer</x:v>
      </x:c>
      <x:c r="E222" s="9" t="str">
        <x:v>Soccer/FIFA World Cup</x:v>
      </x:c>
      <x:c r="F222" s="10" t="str">
        <x:v>Switzerland vs Bosnia-Herzegovina</x:v>
      </x:c>
      <x:c r="G222" s="10" t="str">
        <x:v>FIFA World Cup 2026 Group B</x:v>
      </x:c>
      <x:c r="H222" s="10" t="str">
        <x:v>Self-selected regulation outcomes and fade outcomes</x:v>
      </x:c>
      <x:c r="I222" s="9" t="n">
        <x:v>2</x:v>
      </x:c>
      <x:c r="J222" s="10" t="str">
        <x:v>Switzerland team total Over 0.5 goals</x:v>
      </x:c>
      <x:c r="K222" s="9" t="str">
        <x:v>SUI Over 0.5</x:v>
      </x:c>
      <x:c r="L222" s="23" t="n">
        <x:v>0.77</x:v>
      </x:c>
      <x:c r="M222" s="9" t="str">
        <x:v>W</x:v>
      </x:c>
      <x:c r="N222" s="9" t="n">
        <x:f>IF(M222="W",1,IF(M222="L",0,""))</x:f>
        <x:v>1</x:v>
      </x:c>
      <x:c r="O222" s="24" t="n">
        <x:f>IF(OR(M222="W",M222="L"),(L222-N222)^2,"")</x:f>
        <x:v>0.05289999999999999</x:v>
      </x:c>
      <x:c r="P222" s="9" t="str">
        <x:v>NO</x:v>
      </x:c>
      <x:c r="Q222" s="9" t="str">
        <x:v>70-79</x:v>
      </x:c>
      <x:c r="R222" s="9" t="str">
        <x:v>NO</x:v>
      </x:c>
      <x:c r="S222" s="10" t="str">
        <x:v>ESPN soccer summary/scoreboard checked 2026-06-19 09:28 AEST</x:v>
      </x:c>
      <x:c r="T222" s="10" t="str">
        <x:f>IF(IFERROR(ISNUMBER(SEARCH("http",S222)),FALSE),"YES","NO")</x:f>
        <x:v>NO</x:v>
      </x:c>
      <x:c r="U222" s="10" t="str">
        <x:v>NO</x:v>
      </x:c>
      <x:c r="V222" s="10" t="str">
        <x:v>NO</x:v>
      </x:c>
      <x:c r="W222" s="10" t="str">
        <x:v>LEGACY_UNVERIFIED_SNAPSHOT: no immutable cutoff/model/source packet</x:v>
      </x:c>
      <x:c r="X222" s="10" t="str">
        <x:v>legacy schema only</x:v>
      </x:c>
    </x:row>
    <x:row r="223">
      <x:c r="A223" s="9" t="n">
        <x:v>219</x:v>
      </x:c>
      <x:c r="B223" s="9" t="str">
        <x:v>SOC-WC2026-20260619-SUI-BIH</x:v>
      </x:c>
      <x:c r="C223" s="25" t="str">
        <x:v>2026-06-19</x:v>
      </x:c>
      <x:c r="D223" s="9" t="str">
        <x:v>Soccer</x:v>
      </x:c>
      <x:c r="E223" s="9" t="str">
        <x:v>Soccer/FIFA World Cup</x:v>
      </x:c>
      <x:c r="F223" s="10" t="str">
        <x:v>Switzerland vs Bosnia-Herzegovina</x:v>
      </x:c>
      <x:c r="G223" s="10" t="str">
        <x:v>FIFA World Cup 2026 Group B</x:v>
      </x:c>
      <x:c r="H223" s="10" t="str">
        <x:v>Self-selected regulation outcomes and fade outcomes</x:v>
      </x:c>
      <x:c r="I223" s="9" t="n">
        <x:v>3</x:v>
      </x:c>
      <x:c r="J223" s="10" t="str">
        <x:v>Bosnia-Herzegovina win in regulation</x:v>
      </x:c>
      <x:c r="K223" s="9" t="str">
        <x:v>Bosnia win</x:v>
      </x:c>
      <x:c r="L223" s="23" t="n">
        <x:v>0.24</x:v>
      </x:c>
      <x:c r="M223" s="9" t="str">
        <x:v>L</x:v>
      </x:c>
      <x:c r="N223" s="9" t="n">
        <x:f>IF(M223="W",1,IF(M223="L",0,""))</x:f>
        <x:v>0</x:v>
      </x:c>
      <x:c r="O223" s="24" t="n">
        <x:f>IF(OR(M223="W",M223="L"),(L223-N223)^2,"")</x:f>
        <x:v>0.0576</x:v>
      </x:c>
      <x:c r="P223" s="9" t="str">
        <x:v>NO</x:v>
      </x:c>
      <x:c r="Q223" s="9" t="str">
        <x:v>20-29</x:v>
      </x:c>
      <x:c r="R223" s="9" t="str">
        <x:v>NO</x:v>
      </x:c>
      <x:c r="S223" s="10" t="str">
        <x:v>ESPN soccer summary/scoreboard checked 2026-06-19 09:28 AEST</x:v>
      </x:c>
      <x:c r="T223" s="10" t="str">
        <x:f>IF(IFERROR(ISNUMBER(SEARCH("http",S223)),FALSE),"YES","NO")</x:f>
        <x:v>NO</x:v>
      </x:c>
      <x:c r="U223" s="10" t="str">
        <x:v>NO</x:v>
      </x:c>
      <x:c r="V223" s="10" t="str">
        <x:v>NO</x:v>
      </x:c>
      <x:c r="W223" s="10" t="str">
        <x:v>LEGACY_UNVERIFIED_SNAPSHOT: no immutable cutoff/model/source packet</x:v>
      </x:c>
      <x:c r="X223" s="10" t="str">
        <x:v>legacy schema only</x:v>
      </x:c>
    </x:row>
    <x:row r="224">
      <x:c r="A224" s="9" t="n">
        <x:v>220</x:v>
      </x:c>
      <x:c r="B224" s="9" t="str">
        <x:v>SOC-WC2026-20260619-SUI-BIH</x:v>
      </x:c>
      <x:c r="C224" s="25" t="str">
        <x:v>2026-06-19</x:v>
      </x:c>
      <x:c r="D224" s="9" t="str">
        <x:v>Soccer</x:v>
      </x:c>
      <x:c r="E224" s="9" t="str">
        <x:v>Soccer/FIFA World Cup</x:v>
      </x:c>
      <x:c r="F224" s="10" t="str">
        <x:v>Switzerland vs Bosnia-Herzegovina</x:v>
      </x:c>
      <x:c r="G224" s="10" t="str">
        <x:v>FIFA World Cup 2026 Group B</x:v>
      </x:c>
      <x:c r="H224" s="10" t="str">
        <x:v>Self-selected regulation outcomes and fade outcomes</x:v>
      </x:c>
      <x:c r="I224" s="9" t="n">
        <x:v>4</x:v>
      </x:c>
      <x:c r="J224" s="10" t="str">
        <x:v>Bosnia-Herzegovina clean sheet / Switzerland fail to score</x:v>
      </x:c>
      <x:c r="K224" s="9" t="str">
        <x:v>Bosnia clean sheet</x:v>
      </x:c>
      <x:c r="L224" s="23" t="n">
        <x:v>0.18</x:v>
      </x:c>
      <x:c r="M224" s="9" t="str">
        <x:v>L</x:v>
      </x:c>
      <x:c r="N224" s="9" t="n">
        <x:f>IF(M224="W",1,IF(M224="L",0,""))</x:f>
        <x:v>0</x:v>
      </x:c>
      <x:c r="O224" s="24" t="n">
        <x:f>IF(OR(M224="W",M224="L"),(L224-N224)^2,"")</x:f>
        <x:v>0.0324</x:v>
      </x:c>
      <x:c r="P224" s="9" t="str">
        <x:v>NO</x:v>
      </x:c>
      <x:c r="Q224" s="9" t="str">
        <x:v>10-19</x:v>
      </x:c>
      <x:c r="R224" s="9" t="str">
        <x:v>NO</x:v>
      </x:c>
      <x:c r="S224" s="10" t="str">
        <x:v>ESPN soccer summary/scoreboard checked 2026-06-19 09:28 AEST</x:v>
      </x:c>
      <x:c r="T224" s="10" t="str">
        <x:f>IF(IFERROR(ISNUMBER(SEARCH("http",S224)),FALSE),"YES","NO")</x:f>
        <x:v>NO</x:v>
      </x:c>
      <x:c r="U224" s="10" t="str">
        <x:v>NO</x:v>
      </x:c>
      <x:c r="V224" s="10" t="str">
        <x:v>NO</x:v>
      </x:c>
      <x:c r="W224" s="10" t="str">
        <x:v>LEGACY_UNVERIFIED_SNAPSHOT: no immutable cutoff/model/source packet</x:v>
      </x:c>
      <x:c r="X224" s="10" t="str">
        <x:v>legacy schema only</x:v>
      </x:c>
    </x:row>
    <x:row r="225">
      <x:c r="A225" s="9" t="n">
        <x:v>221</x:v>
      </x:c>
      <x:c r="B225" s="9" t="str">
        <x:v>WNBA-20260619-ATL-IND</x:v>
      </x:c>
      <x:c r="C225" s="25" t="str">
        <x:v>2026-06-19</x:v>
      </x:c>
      <x:c r="D225" s="9" t="str">
        <x:v>Basketball</x:v>
      </x:c>
      <x:c r="E225" s="9" t="str">
        <x:v>Basketball/WNBA</x:v>
      </x:c>
      <x:c r="F225" s="10" t="str">
        <x:v>Atlanta Dream @ Indiana Fever</x:v>
      </x:c>
      <x:c r="G225" s="10" t="str">
        <x:v>WNBA regular season</x:v>
      </x:c>
      <x:c r="H225" s="10" t="str">
        <x:v>Dream -1.5, Fever +1.5, full total 173.5, 1H total 85.5</x:v>
      </x:c>
      <x:c r="I225" s="9" t="n">
        <x:v>1</x:v>
      </x:c>
      <x:c r="J225" s="10" t="str">
        <x:v>Fever +1.5</x:v>
      </x:c>
      <x:c r="K225" s="9" t="str">
        <x:v>IND +1.5</x:v>
      </x:c>
      <x:c r="L225" s="23" t="n">
        <x:v>0.63</x:v>
      </x:c>
      <x:c r="M225" s="9" t="str">
        <x:v>L</x:v>
      </x:c>
      <x:c r="N225" s="9" t="n">
        <x:f>IF(M225="W",1,IF(M225="L",0,""))</x:f>
        <x:v>0</x:v>
      </x:c>
      <x:c r="O225" s="24" t="n">
        <x:f>IF(OR(M225="W",M225="L"),(L225-N225)^2,"")</x:f>
        <x:v>0.39690000000000003</x:v>
      </x:c>
      <x:c r="P225" s="9" t="str">
        <x:v>YES</x:v>
      </x:c>
      <x:c r="Q225" s="9" t="str">
        <x:v>60-69</x:v>
      </x:c>
      <x:c r="R225" s="9" t="str">
        <x:v>NO</x:v>
      </x:c>
      <x:c r="S225" s="10" t="str">
        <x:v>ESPN/WNBA final score checked 2026-06-19 AEST</x:v>
      </x:c>
      <x:c r="T225" s="10" t="str">
        <x:f>IF(IFERROR(ISNUMBER(SEARCH("http",S225)),FALSE),"YES","NO")</x:f>
        <x:v>NO</x:v>
      </x:c>
      <x:c r="U225" s="10" t="str">
        <x:v>NO</x:v>
      </x:c>
      <x:c r="V225" s="10" t="str">
        <x:v>NO</x:v>
      </x:c>
      <x:c r="W225" s="10" t="str">
        <x:v>LEGACY_UNVERIFIED_SNAPSHOT: no immutable cutoff/model/source packet</x:v>
      </x:c>
      <x:c r="X225" s="10" t="str">
        <x:v>projection_error; rank_error; exact_complement_selection</x:v>
      </x:c>
    </x:row>
    <x:row r="226">
      <x:c r="A226" s="9" t="n">
        <x:v>222</x:v>
      </x:c>
      <x:c r="B226" s="9" t="str">
        <x:v>WNBA-20260619-ATL-IND</x:v>
      </x:c>
      <x:c r="C226" s="25" t="str">
        <x:v>2026-06-19</x:v>
      </x:c>
      <x:c r="D226" s="9" t="str">
        <x:v>Basketball</x:v>
      </x:c>
      <x:c r="E226" s="9" t="str">
        <x:v>Basketball/WNBA</x:v>
      </x:c>
      <x:c r="F226" s="10" t="str">
        <x:v>Atlanta Dream @ Indiana Fever</x:v>
      </x:c>
      <x:c r="G226" s="10" t="str">
        <x:v>WNBA regular season</x:v>
      </x:c>
      <x:c r="H226" s="10" t="str">
        <x:v>Dream -1.5, Fever +1.5, full total 173.5, 1H total 85.5</x:v>
      </x:c>
      <x:c r="I226" s="9" t="n">
        <x:v>2</x:v>
      </x:c>
      <x:c r="J226" s="10" t="str">
        <x:v>Combined Total Under 173.5 points</x:v>
      </x:c>
      <x:c r="K226" s="9" t="str">
        <x:v>Under 173.5</x:v>
      </x:c>
      <x:c r="L226" s="23" t="n">
        <x:v>0.57</x:v>
      </x:c>
      <x:c r="M226" s="9" t="str">
        <x:v>L</x:v>
      </x:c>
      <x:c r="N226" s="9" t="n">
        <x:f>IF(M226="W",1,IF(M226="L",0,""))</x:f>
        <x:v>0</x:v>
      </x:c>
      <x:c r="O226" s="24" t="n">
        <x:f>IF(OR(M226="W",M226="L"),(L226-N226)^2,"")</x:f>
        <x:v>0.32489999999999997</x:v>
      </x:c>
      <x:c r="P226" s="9" t="str">
        <x:v>YES</x:v>
      </x:c>
      <x:c r="Q226" s="9" t="str">
        <x:v>50-59</x:v>
      </x:c>
      <x:c r="R226" s="9" t="str">
        <x:v>NO</x:v>
      </x:c>
      <x:c r="S226" s="10" t="str">
        <x:v>ESPN/WNBA final score checked 2026-06-19 AEST</x:v>
      </x:c>
      <x:c r="T226" s="10" t="str">
        <x:f>IF(IFERROR(ISNUMBER(SEARCH("http",S226)),FALSE),"YES","NO")</x:f>
        <x:v>NO</x:v>
      </x:c>
      <x:c r="U226" s="10" t="str">
        <x:v>NO</x:v>
      </x:c>
      <x:c r="V226" s="10" t="str">
        <x:v>NO</x:v>
      </x:c>
      <x:c r="W226" s="10" t="str">
        <x:v>LEGACY_UNVERIFIED_SNAPSHOT: no immutable cutoff/model/source packet</x:v>
      </x:c>
      <x:c r="X226" s="10" t="str">
        <x:v>projection_error; rank_error; exact_complement_selection</x:v>
      </x:c>
    </x:row>
    <x:row r="227">
      <x:c r="A227" s="9" t="n">
        <x:v>223</x:v>
      </x:c>
      <x:c r="B227" s="9" t="str">
        <x:v>WNBA-20260619-ATL-IND</x:v>
      </x:c>
      <x:c r="C227" s="25" t="str">
        <x:v>2026-06-19</x:v>
      </x:c>
      <x:c r="D227" s="9" t="str">
        <x:v>Basketball</x:v>
      </x:c>
      <x:c r="E227" s="9" t="str">
        <x:v>Basketball/WNBA</x:v>
      </x:c>
      <x:c r="F227" s="10" t="str">
        <x:v>Atlanta Dream @ Indiana Fever</x:v>
      </x:c>
      <x:c r="G227" s="10" t="str">
        <x:v>WNBA regular season</x:v>
      </x:c>
      <x:c r="H227" s="10" t="str">
        <x:v>Dream -1.5, Fever +1.5, full total 173.5, 1H total 85.5</x:v>
      </x:c>
      <x:c r="I227" s="9" t="n">
        <x:v>3</x:v>
      </x:c>
      <x:c r="J227" s="10" t="str">
        <x:v>Combined Total Over 173.5 points</x:v>
      </x:c>
      <x:c r="K227" s="9" t="str">
        <x:v>Over 173.5</x:v>
      </x:c>
      <x:c r="L227" s="23" t="n">
        <x:v>0.43</x:v>
      </x:c>
      <x:c r="M227" s="9" t="str">
        <x:v>W</x:v>
      </x:c>
      <x:c r="N227" s="9" t="n">
        <x:f>IF(M227="W",1,IF(M227="L",0,""))</x:f>
        <x:v>1</x:v>
      </x:c>
      <x:c r="O227" s="24" t="n">
        <x:f>IF(OR(M227="W",M227="L"),(L227-N227)^2,"")</x:f>
        <x:v>0.3249000000000001</x:v>
      </x:c>
      <x:c r="P227" s="9" t="str">
        <x:v>YES</x:v>
      </x:c>
      <x:c r="Q227" s="9" t="str">
        <x:v>40-49</x:v>
      </x:c>
      <x:c r="R227" s="9" t="str">
        <x:v>NO</x:v>
      </x:c>
      <x:c r="S227" s="10" t="str">
        <x:v>ESPN/WNBA final score checked 2026-06-19 AEST</x:v>
      </x:c>
      <x:c r="T227" s="10" t="str">
        <x:f>IF(IFERROR(ISNUMBER(SEARCH("http",S227)),FALSE),"YES","NO")</x:f>
        <x:v>NO</x:v>
      </x:c>
      <x:c r="U227" s="10" t="str">
        <x:v>NO</x:v>
      </x:c>
      <x:c r="V227" s="10" t="str">
        <x:v>NO</x:v>
      </x:c>
      <x:c r="W227" s="10" t="str">
        <x:v>LEGACY_UNVERIFIED_SNAPSHOT: no immutable cutoff/model/source packet</x:v>
      </x:c>
      <x:c r="X227" s="10" t="str">
        <x:v>projection_error; rank_error; exact_complement_selection</x:v>
      </x:c>
    </x:row>
    <x:row r="228">
      <x:c r="A228" s="9" t="n">
        <x:v>224</x:v>
      </x:c>
      <x:c r="B228" s="9" t="str">
        <x:v>WNBA-20260619-ATL-IND</x:v>
      </x:c>
      <x:c r="C228" s="25" t="str">
        <x:v>2026-06-19</x:v>
      </x:c>
      <x:c r="D228" s="9" t="str">
        <x:v>Basketball</x:v>
      </x:c>
      <x:c r="E228" s="9" t="str">
        <x:v>Basketball/WNBA</x:v>
      </x:c>
      <x:c r="F228" s="10" t="str">
        <x:v>Atlanta Dream @ Indiana Fever</x:v>
      </x:c>
      <x:c r="G228" s="10" t="str">
        <x:v>WNBA regular season</x:v>
      </x:c>
      <x:c r="H228" s="10" t="str">
        <x:v>Dream -1.5, Fever +1.5, full total 173.5, 1H total 85.5</x:v>
      </x:c>
      <x:c r="I228" s="9" t="n">
        <x:v>4</x:v>
      </x:c>
      <x:c r="J228" s="10" t="str">
        <x:v>Dream -1.5</x:v>
      </x:c>
      <x:c r="K228" s="9" t="str">
        <x:v>ATL -1.5</x:v>
      </x:c>
      <x:c r="L228" s="23" t="n">
        <x:v>0.37</x:v>
      </x:c>
      <x:c r="M228" s="9" t="str">
        <x:v>W</x:v>
      </x:c>
      <x:c r="N228" s="9" t="n">
        <x:f>IF(M228="W",1,IF(M228="L",0,""))</x:f>
        <x:v>1</x:v>
      </x:c>
      <x:c r="O228" s="24" t="n">
        <x:f>IF(OR(M228="W",M228="L"),(L228-N228)^2,"")</x:f>
        <x:v>0.39690000000000003</x:v>
      </x:c>
      <x:c r="P228" s="9" t="str">
        <x:v>YES</x:v>
      </x:c>
      <x:c r="Q228" s="9" t="str">
        <x:v>30-39</x:v>
      </x:c>
      <x:c r="R228" s="9" t="str">
        <x:v>NO</x:v>
      </x:c>
      <x:c r="S228" s="10" t="str">
        <x:v>ESPN/WNBA final score checked 2026-06-19 AEST</x:v>
      </x:c>
      <x:c r="T228" s="10" t="str">
        <x:f>IF(IFERROR(ISNUMBER(SEARCH("http",S228)),FALSE),"YES","NO")</x:f>
        <x:v>NO</x:v>
      </x:c>
      <x:c r="U228" s="10" t="str">
        <x:v>NO</x:v>
      </x:c>
      <x:c r="V228" s="10" t="str">
        <x:v>NO</x:v>
      </x:c>
      <x:c r="W228" s="10" t="str">
        <x:v>LEGACY_UNVERIFIED_SNAPSHOT: no immutable cutoff/model/source packet</x:v>
      </x:c>
      <x:c r="X228" s="10" t="str">
        <x:v>projection_error; rank_error; exact_complement_selection</x:v>
      </x:c>
    </x:row>
    <x:row r="229">
      <x:c r="A229" s="9" t="n">
        <x:v>225</x:v>
      </x:c>
      <x:c r="B229" s="9" t="str">
        <x:v>CRICKET-MLC-20260619-TSK-SOR</x:v>
      </x:c>
      <x:c r="C229" s="25" t="str">
        <x:v>2026-06-19</x:v>
      </x:c>
      <x:c r="D229" s="9" t="str">
        <x:v>Cricket</x:v>
      </x:c>
      <x:c r="E229" s="9" t="str">
        <x:v>Cricket/MLC</x:v>
      </x:c>
      <x:c r="F229" s="10" t="str">
        <x:v>Texas Super Kings vs Seattle Orcas</x:v>
      </x:c>
      <x:c r="G229" s="10" t="str">
        <x:v>Major League Cricket 2026</x:v>
      </x:c>
      <x:c r="H229" s="10" t="str">
        <x:v>Seattle 1st innings total 183.5 plus self-selected side/ceiling outcomes</x:v>
      </x:c>
      <x:c r="I229" s="9" t="n">
        <x:v>1</x:v>
      </x:c>
      <x:c r="J229" s="10" t="str">
        <x:v>Texas Super Kings to win / chase successfully</x:v>
      </x:c>
      <x:c r="K229" s="9" t="str">
        <x:v>TSK win</x:v>
      </x:c>
      <x:c r="L229" s="23" t="n">
        <x:v>0.58</x:v>
      </x:c>
      <x:c r="M229" s="9" t="str">
        <x:v>W</x:v>
      </x:c>
      <x:c r="N229" s="9" t="n">
        <x:f>IF(M229="W",1,IF(M229="L",0,""))</x:f>
        <x:v>1</x:v>
      </x:c>
      <x:c r="O229" s="24" t="n">
        <x:f>IF(OR(M229="W",M229="L"),(L229-N229)^2,"")</x:f>
        <x:v>0.17640000000000003</x:v>
      </x:c>
      <x:c r="P229" s="9" t="str">
        <x:v>NO</x:v>
      </x:c>
      <x:c r="Q229" s="9" t="str">
        <x:v>50-59</x:v>
      </x:c>
      <x:c r="R229" s="9" t="str">
        <x:v>NO</x:v>
      </x:c>
      <x:c r="S229" s="10" t="str">
        <x:v>Cricbuzz final scorecard checked 2026-06-19 19:25 AEST</x:v>
      </x:c>
      <x:c r="T229" s="10" t="str">
        <x:f>IF(IFERROR(ISNUMBER(SEARCH("http",S229)),FALSE),"YES","NO")</x:f>
        <x:v>NO</x:v>
      </x:c>
      <x:c r="U229" s="10" t="str">
        <x:v>NO</x:v>
      </x:c>
      <x:c r="V229" s="10" t="str">
        <x:v>NO</x:v>
      </x:c>
      <x:c r="W229" s="10" t="str">
        <x:v>LEGACY_UNVERIFIED_SNAPSHOT: no immutable cutoff/model/source packet</x:v>
      </x:c>
      <x:c r="X229" s="10" t="str">
        <x:v>projection_error; rank_error</x:v>
      </x:c>
    </x:row>
    <x:row r="230">
      <x:c r="A230" s="9" t="n">
        <x:v>226</x:v>
      </x:c>
      <x:c r="B230" s="9" t="str">
        <x:v>CRICKET-MLC-20260619-TSK-SOR</x:v>
      </x:c>
      <x:c r="C230" s="25" t="str">
        <x:v>2026-06-19</x:v>
      </x:c>
      <x:c r="D230" s="9" t="str">
        <x:v>Cricket</x:v>
      </x:c>
      <x:c r="E230" s="9" t="str">
        <x:v>Cricket/MLC</x:v>
      </x:c>
      <x:c r="F230" s="10" t="str">
        <x:v>Texas Super Kings vs Seattle Orcas</x:v>
      </x:c>
      <x:c r="G230" s="10" t="str">
        <x:v>Major League Cricket 2026</x:v>
      </x:c>
      <x:c r="H230" s="10" t="str">
        <x:v>Seattle 1st innings total 183.5 plus self-selected side/ceiling outcomes</x:v>
      </x:c>
      <x:c r="I230" s="9" t="n">
        <x:v>2</x:v>
      </x:c>
      <x:c r="J230" s="10" t="str">
        <x:v>Seattle Orcas 1st innings 20 overs Under 183.5 runs</x:v>
      </x:c>
      <x:c r="K230" s="9" t="str">
        <x:v>Under 183.5</x:v>
      </x:c>
      <x:c r="L230" s="23" t="n">
        <x:v>0.55</x:v>
      </x:c>
      <x:c r="M230" s="9" t="str">
        <x:v>L</x:v>
      </x:c>
      <x:c r="N230" s="9" t="n">
        <x:f>IF(M230="W",1,IF(M230="L",0,""))</x:f>
        <x:v>0</x:v>
      </x:c>
      <x:c r="O230" s="24" t="n">
        <x:f>IF(OR(M230="W",M230="L"),(L230-N230)^2,"")</x:f>
        <x:v>0.30250000000000005</x:v>
      </x:c>
      <x:c r="P230" s="9" t="str">
        <x:v>YES</x:v>
      </x:c>
      <x:c r="Q230" s="9" t="str">
        <x:v>50-59</x:v>
      </x:c>
      <x:c r="R230" s="9" t="str">
        <x:v>NO</x:v>
      </x:c>
      <x:c r="S230" s="10" t="str">
        <x:v>Cricbuzz final scorecard checked 2026-06-19 19:25 AEST</x:v>
      </x:c>
      <x:c r="T230" s="10" t="str">
        <x:f>IF(IFERROR(ISNUMBER(SEARCH("http",S230)),FALSE),"YES","NO")</x:f>
        <x:v>NO</x:v>
      </x:c>
      <x:c r="U230" s="10" t="str">
        <x:v>NO</x:v>
      </x:c>
      <x:c r="V230" s="10" t="str">
        <x:v>NO</x:v>
      </x:c>
      <x:c r="W230" s="10" t="str">
        <x:v>LEGACY_UNVERIFIED_SNAPSHOT: no immutable cutoff/model/source packet</x:v>
      </x:c>
      <x:c r="X230" s="10" t="str">
        <x:v>projection_error; rank_error; exact_complement_selection</x:v>
      </x:c>
    </x:row>
    <x:row r="231">
      <x:c r="A231" s="9" t="n">
        <x:v>227</x:v>
      </x:c>
      <x:c r="B231" s="9" t="str">
        <x:v>CRICKET-MLC-20260619-TSK-SOR</x:v>
      </x:c>
      <x:c r="C231" s="25" t="str">
        <x:v>2026-06-19</x:v>
      </x:c>
      <x:c r="D231" s="9" t="str">
        <x:v>Cricket</x:v>
      </x:c>
      <x:c r="E231" s="9" t="str">
        <x:v>Cricket/MLC</x:v>
      </x:c>
      <x:c r="F231" s="10" t="str">
        <x:v>Texas Super Kings vs Seattle Orcas</x:v>
      </x:c>
      <x:c r="G231" s="10" t="str">
        <x:v>Major League Cricket 2026</x:v>
      </x:c>
      <x:c r="H231" s="10" t="str">
        <x:v>Seattle 1st innings total 183.5 plus self-selected side/ceiling outcomes</x:v>
      </x:c>
      <x:c r="I231" s="9" t="n">
        <x:v>3</x:v>
      </x:c>
      <x:c r="J231" s="10" t="str">
        <x:v>Seattle Orcas 1st innings 20 overs Over 183.5 runs</x:v>
      </x:c>
      <x:c r="K231" s="9" t="str">
        <x:v>Over 183.5</x:v>
      </x:c>
      <x:c r="L231" s="23" t="n">
        <x:v>0.45</x:v>
      </x:c>
      <x:c r="M231" s="9" t="str">
        <x:v>W</x:v>
      </x:c>
      <x:c r="N231" s="9" t="n">
        <x:f>IF(M231="W",1,IF(M231="L",0,""))</x:f>
        <x:v>1</x:v>
      </x:c>
      <x:c r="O231" s="24" t="n">
        <x:f>IF(OR(M231="W",M231="L"),(L231-N231)^2,"")</x:f>
        <x:v>0.30250000000000005</x:v>
      </x:c>
      <x:c r="P231" s="9" t="str">
        <x:v>YES</x:v>
      </x:c>
      <x:c r="Q231" s="9" t="str">
        <x:v>40-49</x:v>
      </x:c>
      <x:c r="R231" s="9" t="str">
        <x:v>NO</x:v>
      </x:c>
      <x:c r="S231" s="10" t="str">
        <x:v>Cricbuzz final scorecard checked 2026-06-19 19:25 AEST</x:v>
      </x:c>
      <x:c r="T231" s="10" t="str">
        <x:f>IF(IFERROR(ISNUMBER(SEARCH("http",S231)),FALSE),"YES","NO")</x:f>
        <x:v>NO</x:v>
      </x:c>
      <x:c r="U231" s="10" t="str">
        <x:v>NO</x:v>
      </x:c>
      <x:c r="V231" s="10" t="str">
        <x:v>NO</x:v>
      </x:c>
      <x:c r="W231" s="10" t="str">
        <x:v>LEGACY_UNVERIFIED_SNAPSHOT: no immutable cutoff/model/source packet</x:v>
      </x:c>
      <x:c r="X231" s="10" t="str">
        <x:v>projection_error; rank_error; exact_complement_selection</x:v>
      </x:c>
    </x:row>
    <x:row r="232">
      <x:c r="A232" s="9" t="n">
        <x:v>228</x:v>
      </x:c>
      <x:c r="B232" s="9" t="str">
        <x:v>CRICKET-MLC-20260619-TSK-SOR</x:v>
      </x:c>
      <x:c r="C232" s="25" t="str">
        <x:v>2026-06-19</x:v>
      </x:c>
      <x:c r="D232" s="9" t="str">
        <x:v>Cricket</x:v>
      </x:c>
      <x:c r="E232" s="9" t="str">
        <x:v>Cricket/MLC</x:v>
      </x:c>
      <x:c r="F232" s="10" t="str">
        <x:v>Texas Super Kings vs Seattle Orcas</x:v>
      </x:c>
      <x:c r="G232" s="10" t="str">
        <x:v>Major League Cricket 2026</x:v>
      </x:c>
      <x:c r="H232" s="10" t="str">
        <x:v>Seattle 1st innings total 183.5 plus self-selected side/ceiling outcomes</x:v>
      </x:c>
      <x:c r="I232" s="9" t="n">
        <x:v>4</x:v>
      </x:c>
      <x:c r="J232" s="10" t="str">
        <x:v>Seattle Orcas 200+ first-innings runs</x:v>
      </x:c>
      <x:c r="K232" s="9" t="str">
        <x:v>Seattle 200+</x:v>
      </x:c>
      <x:c r="L232" s="23" t="n">
        <x:v>0.28</x:v>
      </x:c>
      <x:c r="M232" s="9" t="str">
        <x:v>W</x:v>
      </x:c>
      <x:c r="N232" s="9" t="n">
        <x:f>IF(M232="W",1,IF(M232="L",0,""))</x:f>
        <x:v>1</x:v>
      </x:c>
      <x:c r="O232" s="24" t="n">
        <x:f>IF(OR(M232="W",M232="L"),(L232-N232)^2,"")</x:f>
        <x:v>0.5184</x:v>
      </x:c>
      <x:c r="P232" s="9" t="str">
        <x:v>NO</x:v>
      </x:c>
      <x:c r="Q232" s="9" t="str">
        <x:v>20-29</x:v>
      </x:c>
      <x:c r="R232" s="9" t="str">
        <x:v>NO</x:v>
      </x:c>
      <x:c r="S232" s="10" t="str">
        <x:v>Cricbuzz final scorecard checked 2026-06-19 19:25 AEST</x:v>
      </x:c>
      <x:c r="T232" s="10" t="str">
        <x:f>IF(IFERROR(ISNUMBER(SEARCH("http",S232)),FALSE),"YES","NO")</x:f>
        <x:v>NO</x:v>
      </x:c>
      <x:c r="U232" s="10" t="str">
        <x:v>NO</x:v>
      </x:c>
      <x:c r="V232" s="10" t="str">
        <x:v>NO</x:v>
      </x:c>
      <x:c r="W232" s="10" t="str">
        <x:v>LEGACY_UNVERIFIED_SNAPSHOT: no immutable cutoff/model/source packet</x:v>
      </x:c>
      <x:c r="X232" s="10" t="str">
        <x:v>projection_error; rank_error</x:v>
      </x:c>
    </x:row>
    <x:row r="233">
      <x:c r="A233" s="9" t="n">
        <x:v>229</x:v>
      </x:c>
      <x:c r="B233" s="9" t="str">
        <x:v>KBO-20260619-DOO-LG</x:v>
      </x:c>
      <x:c r="C233" s="25" t="str">
        <x:v>2026-06-19</x:v>
      </x:c>
      <x:c r="D233" s="9" t="str">
        <x:v>Baseball</x:v>
      </x:c>
      <x:c r="E233" s="9" t="str">
        <x:v>Baseball/KBO</x:v>
      </x:c>
      <x:c r="F233" s="10" t="str">
        <x:v>Doosan Bears @ LG Twins</x:v>
      </x:c>
      <x:c r="G233" s="10" t="str">
        <x:v>KBO regular season</x:v>
      </x:c>
      <x:c r="H233" s="10" t="str">
        <x:v>LG +1.5, Doosan +0.5, full-game total 8.5</x:v>
      </x:c>
      <x:c r="I233" s="9" t="n">
        <x:v>1</x:v>
      </x:c>
      <x:c r="J233" s="10" t="str">
        <x:v>LG Twins +1.5</x:v>
      </x:c>
      <x:c r="K233" s="9" t="str">
        <x:v>LG +1.5</x:v>
      </x:c>
      <x:c r="L233" s="23" t="n">
        <x:v>0.64</x:v>
      </x:c>
      <x:c r="M233" s="9" t="str">
        <x:v>W</x:v>
      </x:c>
      <x:c r="N233" s="9" t="n">
        <x:f>IF(M233="W",1,IF(M233="L",0,""))</x:f>
        <x:v>1</x:v>
      </x:c>
      <x:c r="O233" s="24" t="n">
        <x:f>IF(OR(M233="W",M233="L"),(L233-N233)^2,"")</x:f>
        <x:v>0.1296</x:v>
      </x:c>
      <x:c r="P233" s="9" t="str">
        <x:v>NO</x:v>
      </x:c>
      <x:c r="Q233" s="9" t="str">
        <x:v>60-69</x:v>
      </x:c>
      <x:c r="R233" s="9" t="str">
        <x:v>NO</x:v>
      </x:c>
      <x:c r="S233" s="10" t="str">
        <x:v>MyKBO final game page checked 2026-06-20 18:02 AEST; unofficial but detailed final line/box/play log</x:v>
      </x:c>
      <x:c r="T233" s="10" t="str">
        <x:f>IF(IFERROR(ISNUMBER(SEARCH("http",S233)),FALSE),"YES","NO")</x:f>
        <x:v>NO</x:v>
      </x:c>
      <x:c r="U233" s="10" t="str">
        <x:v>NO</x:v>
      </x:c>
      <x:c r="V233" s="10" t="str">
        <x:v>NO</x:v>
      </x:c>
      <x:c r="W233" s="10" t="str">
        <x:v>LEGACY_UNVERIFIED_SNAPSHOT: no immutable cutoff/model/source packet</x:v>
      </x:c>
      <x:c r="X233" s="10" t="str">
        <x:v>legacy schema only</x:v>
      </x:c>
    </x:row>
    <x:row r="234">
      <x:c r="A234" s="9" t="n">
        <x:v>230</x:v>
      </x:c>
      <x:c r="B234" s="9" t="str">
        <x:v>KBO-20260619-DOO-LG</x:v>
      </x:c>
      <x:c r="C234" s="25" t="str">
        <x:v>2026-06-19</x:v>
      </x:c>
      <x:c r="D234" s="9" t="str">
        <x:v>Baseball</x:v>
      </x:c>
      <x:c r="E234" s="9" t="str">
        <x:v>Baseball/KBO</x:v>
      </x:c>
      <x:c r="F234" s="10" t="str">
        <x:v>Doosan Bears @ LG Twins</x:v>
      </x:c>
      <x:c r="G234" s="10" t="str">
        <x:v>KBO regular season</x:v>
      </x:c>
      <x:c r="H234" s="10" t="str">
        <x:v>LG +1.5, Doosan +0.5, full-game total 8.5</x:v>
      </x:c>
      <x:c r="I234" s="9" t="n">
        <x:v>2</x:v>
      </x:c>
      <x:c r="J234" s="10" t="str">
        <x:v>Combined Total Under 8.5 runs</x:v>
      </x:c>
      <x:c r="K234" s="9" t="str">
        <x:v>Under 8.5</x:v>
      </x:c>
      <x:c r="L234" s="23" t="n">
        <x:v>0.56</x:v>
      </x:c>
      <x:c r="M234" s="9" t="str">
        <x:v>W</x:v>
      </x:c>
      <x:c r="N234" s="9" t="n">
        <x:f>IF(M234="W",1,IF(M234="L",0,""))</x:f>
        <x:v>1</x:v>
      </x:c>
      <x:c r="O234" s="24" t="n">
        <x:f>IF(OR(M234="W",M234="L"),(L234-N234)^2,"")</x:f>
        <x:v>0.19359999999999997</x:v>
      </x:c>
      <x:c r="P234" s="9" t="str">
        <x:v>YES</x:v>
      </x:c>
      <x:c r="Q234" s="9" t="str">
        <x:v>50-59</x:v>
      </x:c>
      <x:c r="R234" s="9" t="str">
        <x:v>NO</x:v>
      </x:c>
      <x:c r="S234" s="10" t="str">
        <x:v>MyKBO final game page checked 2026-06-20 18:02 AEST; unofficial but detailed final line/box/play log</x:v>
      </x:c>
      <x:c r="T234" s="10" t="str">
        <x:f>IF(IFERROR(ISNUMBER(SEARCH("http",S234)),FALSE),"YES","NO")</x:f>
        <x:v>NO</x:v>
      </x:c>
      <x:c r="U234" s="10" t="str">
        <x:v>NO</x:v>
      </x:c>
      <x:c r="V234" s="10" t="str">
        <x:v>NO</x:v>
      </x:c>
      <x:c r="W234" s="10" t="str">
        <x:v>LEGACY_UNVERIFIED_SNAPSHOT: no immutable cutoff/model/source packet</x:v>
      </x:c>
      <x:c r="X234" s="10" t="str">
        <x:v>exact_complement_selection</x:v>
      </x:c>
    </x:row>
    <x:row r="235">
      <x:c r="A235" s="9" t="n">
        <x:v>231</x:v>
      </x:c>
      <x:c r="B235" s="9" t="str">
        <x:v>KBO-20260619-DOO-LG</x:v>
      </x:c>
      <x:c r="C235" s="25" t="str">
        <x:v>2026-06-19</x:v>
      </x:c>
      <x:c r="D235" s="9" t="str">
        <x:v>Baseball</x:v>
      </x:c>
      <x:c r="E235" s="9" t="str">
        <x:v>Baseball/KBO</x:v>
      </x:c>
      <x:c r="F235" s="10" t="str">
        <x:v>Doosan Bears @ LG Twins</x:v>
      </x:c>
      <x:c r="G235" s="10" t="str">
        <x:v>KBO regular season</x:v>
      </x:c>
      <x:c r="H235" s="10" t="str">
        <x:v>LG +1.5, Doosan +0.5, full-game total 8.5</x:v>
      </x:c>
      <x:c r="I235" s="9" t="n">
        <x:v>3</x:v>
      </x:c>
      <x:c r="J235" s="10" t="str">
        <x:v>Doosan Bears +0.5 / avoid loss</x:v>
      </x:c>
      <x:c r="K235" s="9" t="str">
        <x:v>Doosan +0.5</x:v>
      </x:c>
      <x:c r="L235" s="23" t="n">
        <x:v>0.52</x:v>
      </x:c>
      <x:c r="M235" s="9" t="str">
        <x:v>L</x:v>
      </x:c>
      <x:c r="N235" s="9" t="n">
        <x:f>IF(M235="W",1,IF(M235="L",0,""))</x:f>
        <x:v>0</x:v>
      </x:c>
      <x:c r="O235" s="24" t="n">
        <x:f>IF(OR(M235="W",M235="L"),(L235-N235)^2,"")</x:f>
        <x:v>0.27040000000000003</x:v>
      </x:c>
      <x:c r="P235" s="9" t="str">
        <x:v>NO</x:v>
      </x:c>
      <x:c r="Q235" s="9" t="str">
        <x:v>50-59</x:v>
      </x:c>
      <x:c r="R235" s="9" t="str">
        <x:v>NO</x:v>
      </x:c>
      <x:c r="S235" s="10" t="str">
        <x:v>MyKBO final game page checked 2026-06-20 18:02 AEST; unofficial but detailed final line/box/play log</x:v>
      </x:c>
      <x:c r="T235" s="10" t="str">
        <x:f>IF(IFERROR(ISNUMBER(SEARCH("http",S235)),FALSE),"YES","NO")</x:f>
        <x:v>NO</x:v>
      </x:c>
      <x:c r="U235" s="10" t="str">
        <x:v>NO</x:v>
      </x:c>
      <x:c r="V235" s="10" t="str">
        <x:v>NO</x:v>
      </x:c>
      <x:c r="W235" s="10" t="str">
        <x:v>LEGACY_UNVERIFIED_SNAPSHOT: no immutable cutoff/model/source packet</x:v>
      </x:c>
      <x:c r="X235" s="10" t="str">
        <x:v>projection_error</x:v>
      </x:c>
    </x:row>
    <x:row r="236">
      <x:c r="A236" s="9" t="n">
        <x:v>232</x:v>
      </x:c>
      <x:c r="B236" s="9" t="str">
        <x:v>KBO-20260619-DOO-LG</x:v>
      </x:c>
      <x:c r="C236" s="25" t="str">
        <x:v>2026-06-19</x:v>
      </x:c>
      <x:c r="D236" s="9" t="str">
        <x:v>Baseball</x:v>
      </x:c>
      <x:c r="E236" s="9" t="str">
        <x:v>Baseball/KBO</x:v>
      </x:c>
      <x:c r="F236" s="10" t="str">
        <x:v>Doosan Bears @ LG Twins</x:v>
      </x:c>
      <x:c r="G236" s="10" t="str">
        <x:v>KBO regular season</x:v>
      </x:c>
      <x:c r="H236" s="10" t="str">
        <x:v>LG +1.5, Doosan +0.5, full-game total 8.5</x:v>
      </x:c>
      <x:c r="I236" s="9" t="n">
        <x:v>4</x:v>
      </x:c>
      <x:c r="J236" s="10" t="str">
        <x:v>Combined Total Over 8.5 runs</x:v>
      </x:c>
      <x:c r="K236" s="9" t="str">
        <x:v>Over 8.5</x:v>
      </x:c>
      <x:c r="L236" s="23" t="n">
        <x:v>0.44</x:v>
      </x:c>
      <x:c r="M236" s="9" t="str">
        <x:v>L</x:v>
      </x:c>
      <x:c r="N236" s="9" t="n">
        <x:f>IF(M236="W",1,IF(M236="L",0,""))</x:f>
        <x:v>0</x:v>
      </x:c>
      <x:c r="O236" s="24" t="n">
        <x:f>IF(OR(M236="W",M236="L"),(L236-N236)^2,"")</x:f>
        <x:v>0.1936</x:v>
      </x:c>
      <x:c r="P236" s="9" t="str">
        <x:v>YES</x:v>
      </x:c>
      <x:c r="Q236" s="9" t="str">
        <x:v>40-49</x:v>
      </x:c>
      <x:c r="R236" s="9" t="str">
        <x:v>NO</x:v>
      </x:c>
      <x:c r="S236" s="10" t="str">
        <x:v>MyKBO final game page checked 2026-06-20 18:02 AEST; unofficial but detailed final line/box/play log</x:v>
      </x:c>
      <x:c r="T236" s="10" t="str">
        <x:f>IF(IFERROR(ISNUMBER(SEARCH("http",S236)),FALSE),"YES","NO")</x:f>
        <x:v>NO</x:v>
      </x:c>
      <x:c r="U236" s="10" t="str">
        <x:v>NO</x:v>
      </x:c>
      <x:c r="V236" s="10" t="str">
        <x:v>NO</x:v>
      </x:c>
      <x:c r="W236" s="10" t="str">
        <x:v>LEGACY_UNVERIFIED_SNAPSHOT: no immutable cutoff/model/source packet</x:v>
      </x:c>
      <x:c r="X236" s="10" t="str">
        <x:v>exact_complement_selection</x:v>
      </x:c>
    </x:row>
    <x:row r="237">
      <x:c r="A237" s="9" t="n">
        <x:v>233</x:v>
      </x:c>
      <x:c r="B237" s="9" t="str">
        <x:v>BKB-NZNBL-20260620-AKL-HBH</x:v>
      </x:c>
      <x:c r="C237" s="25" t="str">
        <x:v>2026-06-20</x:v>
      </x:c>
      <x:c r="D237" s="9" t="str">
        <x:v>Basketball</x:v>
      </x:c>
      <x:c r="E237" s="9" t="str">
        <x:v>Basketball/NZNBL</x:v>
      </x:c>
      <x:c r="F237" s="10" t="str">
        <x:v>Auckland Tuatara vs Hawke's Bay Hawks</x:v>
      </x:c>
      <x:c r="G237" s="10" t="str">
        <x:v>New Zealand NBL regular season</x:v>
      </x:c>
      <x:c r="H237" s="10" t="str">
        <x:v>Tuatara -15.5, Hawks +15.5, full total 184.5, 1H total 92.5</x:v>
      </x:c>
      <x:c r="I237" s="9" t="n">
        <x:v>1</x:v>
      </x:c>
      <x:c r="J237" s="10" t="str">
        <x:v>Auckland Tuatara -15.5</x:v>
      </x:c>
      <x:c r="K237" s="9" t="str">
        <x:v>-15.5</x:v>
      </x:c>
      <x:c r="L237" s="23" t="n">
        <x:v>0.56</x:v>
      </x:c>
      <x:c r="M237" s="9" t="str">
        <x:v>L</x:v>
      </x:c>
      <x:c r="N237" s="9" t="n">
        <x:f>IF(M237="W",1,IF(M237="L",0,""))</x:f>
        <x:v>0</x:v>
      </x:c>
      <x:c r="O237" s="24" t="n">
        <x:f>IF(OR(M237="W",M237="L"),(L237-N237)^2,"")</x:f>
        <x:v>0.31360000000000005</x:v>
      </x:c>
      <x:c r="P237" s="9" t="str">
        <x:v>YES</x:v>
      </x:c>
      <x:c r="Q237" s="9" t="str">
        <x:v>50-59</x:v>
      </x:c>
      <x:c r="R237" s="9" t="str">
        <x:v>NO</x:v>
      </x:c>
      <x:c r="S237" s="10" t="str">
        <x:v>Sofascore final and quarter table; NZNBL recap/search result checked 2026-06-20 18:02 AEST</x:v>
      </x:c>
      <x:c r="T237" s="10" t="str">
        <x:f>IF(IFERROR(ISNUMBER(SEARCH("http",S237)),FALSE),"YES","NO")</x:f>
        <x:v>NO</x:v>
      </x:c>
      <x:c r="U237" s="10" t="str">
        <x:v>YES</x:v>
      </x:c>
      <x:c r="V237" s="10" t="str">
        <x:v>NO</x:v>
      </x:c>
      <x:c r="W237" s="10" t="str">
        <x:v>LEGACY_UNVERIFIED_SNAPSHOT: no immutable cutoff/model/source packet</x:v>
      </x:c>
      <x:c r="X237" s="10" t="str">
        <x:v>projection_error; rank_error; potential_post_event_input_text; exact_complement_selection</x:v>
      </x:c>
    </x:row>
    <x:row r="238">
      <x:c r="A238" s="9" t="n">
        <x:v>234</x:v>
      </x:c>
      <x:c r="B238" s="9" t="str">
        <x:v>BKB-NZNBL-20260620-AKL-HBH</x:v>
      </x:c>
      <x:c r="C238" s="25" t="str">
        <x:v>2026-06-20</x:v>
      </x:c>
      <x:c r="D238" s="9" t="str">
        <x:v>Basketball</x:v>
      </x:c>
      <x:c r="E238" s="9" t="str">
        <x:v>Basketball/NZNBL</x:v>
      </x:c>
      <x:c r="F238" s="10" t="str">
        <x:v>Auckland Tuatara vs Hawke's Bay Hawks</x:v>
      </x:c>
      <x:c r="G238" s="10" t="str">
        <x:v>New Zealand NBL regular season</x:v>
      </x:c>
      <x:c r="H238" s="10" t="str">
        <x:v>Tuatara -15.5, Hawks +15.5, full total 184.5, 1H total 92.5</x:v>
      </x:c>
      <x:c r="I238" s="9" t="n">
        <x:v>2</x:v>
      </x:c>
      <x:c r="J238" s="10" t="str">
        <x:v>Combined Total Under 184.5</x:v>
      </x:c>
      <x:c r="K238" s="9" t="str">
        <x:v>Under 184.5</x:v>
      </x:c>
      <x:c r="L238" s="23" t="n">
        <x:v>0.53</x:v>
      </x:c>
      <x:c r="M238" s="9" t="str">
        <x:v>W</x:v>
      </x:c>
      <x:c r="N238" s="9" t="n">
        <x:f>IF(M238="W",1,IF(M238="L",0,""))</x:f>
        <x:v>1</x:v>
      </x:c>
      <x:c r="O238" s="24" t="n">
        <x:f>IF(OR(M238="W",M238="L"),(L238-N238)^2,"")</x:f>
        <x:v>0.22089999999999999</x:v>
      </x:c>
      <x:c r="P238" s="9" t="str">
        <x:v>YES</x:v>
      </x:c>
      <x:c r="Q238" s="9" t="str">
        <x:v>50-59</x:v>
      </x:c>
      <x:c r="R238" s="9" t="str">
        <x:v>NO</x:v>
      </x:c>
      <x:c r="S238" s="10" t="str">
        <x:v>Sofascore final and quarter table; NZNBL recap/search result checked 2026-06-20 18:02 AEST</x:v>
      </x:c>
      <x:c r="T238" s="10" t="str">
        <x:f>IF(IFERROR(ISNUMBER(SEARCH("http",S238)),FALSE),"YES","NO")</x:f>
        <x:v>NO</x:v>
      </x:c>
      <x:c r="U238" s="10" t="str">
        <x:v>YES</x:v>
      </x:c>
      <x:c r="V238" s="10" t="str">
        <x:v>NO</x:v>
      </x:c>
      <x:c r="W238" s="10" t="str">
        <x:v>LEGACY_UNVERIFIED_SNAPSHOT: no immutable cutoff/model/source packet</x:v>
      </x:c>
      <x:c r="X238" s="10" t="str">
        <x:v>potential_post_event_input_text; exact_complement_selection</x:v>
      </x:c>
    </x:row>
    <x:row r="239">
      <x:c r="A239" s="9" t="n">
        <x:v>235</x:v>
      </x:c>
      <x:c r="B239" s="9" t="str">
        <x:v>BKB-NZNBL-20260620-AKL-HBH</x:v>
      </x:c>
      <x:c r="C239" s="25" t="str">
        <x:v>2026-06-20</x:v>
      </x:c>
      <x:c r="D239" s="9" t="str">
        <x:v>Basketball</x:v>
      </x:c>
      <x:c r="E239" s="9" t="str">
        <x:v>Basketball/NZNBL</x:v>
      </x:c>
      <x:c r="F239" s="10" t="str">
        <x:v>Auckland Tuatara vs Hawke's Bay Hawks</x:v>
      </x:c>
      <x:c r="G239" s="10" t="str">
        <x:v>New Zealand NBL regular season</x:v>
      </x:c>
      <x:c r="H239" s="10" t="str">
        <x:v>Tuatara -15.5, Hawks +15.5, full total 184.5, 1H total 92.5</x:v>
      </x:c>
      <x:c r="I239" s="9" t="n">
        <x:v>3</x:v>
      </x:c>
      <x:c r="J239" s="10" t="str">
        <x:v>Combined 1st Half Total Under 92.5</x:v>
      </x:c>
      <x:c r="K239" s="9" t="str">
        <x:v>1H Under 92.5</x:v>
      </x:c>
      <x:c r="L239" s="23" t="n">
        <x:v>0.51</x:v>
      </x:c>
      <x:c r="M239" s="9" t="str">
        <x:v>W</x:v>
      </x:c>
      <x:c r="N239" s="9" t="n">
        <x:f>IF(M239="W",1,IF(M239="L",0,""))</x:f>
        <x:v>1</x:v>
      </x:c>
      <x:c r="O239" s="24" t="n">
        <x:f>IF(OR(M239="W",M239="L"),(L239-N239)^2,"")</x:f>
        <x:v>0.24009999999999998</x:v>
      </x:c>
      <x:c r="P239" s="9" t="str">
        <x:v>YES</x:v>
      </x:c>
      <x:c r="Q239" s="9" t="str">
        <x:v>50-59</x:v>
      </x:c>
      <x:c r="R239" s="9" t="str">
        <x:v>NO</x:v>
      </x:c>
      <x:c r="S239" s="10" t="str">
        <x:v>Sofascore final and quarter table; NZNBL recap/search result checked 2026-06-20 18:02 AEST</x:v>
      </x:c>
      <x:c r="T239" s="10" t="str">
        <x:f>IF(IFERROR(ISNUMBER(SEARCH("http",S239)),FALSE),"YES","NO")</x:f>
        <x:v>NO</x:v>
      </x:c>
      <x:c r="U239" s="10" t="str">
        <x:v>YES</x:v>
      </x:c>
      <x:c r="V239" s="10" t="str">
        <x:v>NO</x:v>
      </x:c>
      <x:c r="W239" s="10" t="str">
        <x:v>LEGACY_UNVERIFIED_SNAPSHOT: no immutable cutoff/model/source packet</x:v>
      </x:c>
      <x:c r="X239" s="10" t="str">
        <x:v>potential_post_event_input_text; exact_complement_selection</x:v>
      </x:c>
    </x:row>
    <x:row r="240">
      <x:c r="A240" s="9" t="n">
        <x:v>236</x:v>
      </x:c>
      <x:c r="B240" s="9" t="str">
        <x:v>BKB-NZNBL-20260620-AKL-HBH</x:v>
      </x:c>
      <x:c r="C240" s="25" t="str">
        <x:v>2026-06-20</x:v>
      </x:c>
      <x:c r="D240" s="9" t="str">
        <x:v>Basketball</x:v>
      </x:c>
      <x:c r="E240" s="9" t="str">
        <x:v>Basketball/NZNBL</x:v>
      </x:c>
      <x:c r="F240" s="10" t="str">
        <x:v>Auckland Tuatara vs Hawke's Bay Hawks</x:v>
      </x:c>
      <x:c r="G240" s="10" t="str">
        <x:v>New Zealand NBL regular season</x:v>
      </x:c>
      <x:c r="H240" s="10" t="str">
        <x:v>Tuatara -15.5, Hawks +15.5, full total 184.5, 1H total 92.5</x:v>
      </x:c>
      <x:c r="I240" s="9" t="n">
        <x:v>4</x:v>
      </x:c>
      <x:c r="J240" s="10" t="str">
        <x:v>Combined 1st Half Total Over 92.5</x:v>
      </x:c>
      <x:c r="K240" s="9" t="str">
        <x:v>1H Over 92.5</x:v>
      </x:c>
      <x:c r="L240" s="23" t="n">
        <x:v>0.49</x:v>
      </x:c>
      <x:c r="M240" s="9" t="str">
        <x:v>L</x:v>
      </x:c>
      <x:c r="N240" s="9" t="n">
        <x:f>IF(M240="W",1,IF(M240="L",0,""))</x:f>
        <x:v>0</x:v>
      </x:c>
      <x:c r="O240" s="24" t="n">
        <x:f>IF(OR(M240="W",M240="L"),(L240-N240)^2,"")</x:f>
        <x:v>0.24009999999999998</x:v>
      </x:c>
      <x:c r="P240" s="9" t="str">
        <x:v>YES</x:v>
      </x:c>
      <x:c r="Q240" s="9" t="str">
        <x:v>40-49</x:v>
      </x:c>
      <x:c r="R240" s="9" t="str">
        <x:v>NO</x:v>
      </x:c>
      <x:c r="S240" s="10" t="str">
        <x:v>Sofascore final and quarter table; NZNBL recap/search result checked 2026-06-20 18:02 AEST</x:v>
      </x:c>
      <x:c r="T240" s="10" t="str">
        <x:f>IF(IFERROR(ISNUMBER(SEARCH("http",S240)),FALSE),"YES","NO")</x:f>
        <x:v>NO</x:v>
      </x:c>
      <x:c r="U240" s="10" t="str">
        <x:v>YES</x:v>
      </x:c>
      <x:c r="V240" s="10" t="str">
        <x:v>NO</x:v>
      </x:c>
      <x:c r="W240" s="10" t="str">
        <x:v>LEGACY_UNVERIFIED_SNAPSHOT: no immutable cutoff/model/source packet</x:v>
      </x:c>
      <x:c r="X240" s="10" t="str">
        <x:v>potential_post_event_input_text; exact_complement_selection</x:v>
      </x:c>
    </x:row>
    <x:row r="241">
      <x:c r="A241" s="9" t="n">
        <x:v>237</x:v>
      </x:c>
      <x:c r="B241" s="9" t="str">
        <x:v>BKB-NZNBL-20260620-AKL-HBH</x:v>
      </x:c>
      <x:c r="C241" s="25" t="str">
        <x:v>2026-06-20</x:v>
      </x:c>
      <x:c r="D241" s="9" t="str">
        <x:v>Basketball</x:v>
      </x:c>
      <x:c r="E241" s="9" t="str">
        <x:v>Basketball/NZNBL</x:v>
      </x:c>
      <x:c r="F241" s="10" t="str">
        <x:v>Auckland Tuatara vs Hawke's Bay Hawks</x:v>
      </x:c>
      <x:c r="G241" s="10" t="str">
        <x:v>New Zealand NBL regular season</x:v>
      </x:c>
      <x:c r="H241" s="10" t="str">
        <x:v>Tuatara -15.5, Hawks +15.5, full total 184.5, 1H total 92.5</x:v>
      </x:c>
      <x:c r="I241" s="9" t="n">
        <x:v>5</x:v>
      </x:c>
      <x:c r="J241" s="10" t="str">
        <x:v>Combined Total Over 184.5</x:v>
      </x:c>
      <x:c r="K241" s="9" t="str">
        <x:v>Over 184.5</x:v>
      </x:c>
      <x:c r="L241" s="23" t="n">
        <x:v>0.47</x:v>
      </x:c>
      <x:c r="M241" s="9" t="str">
        <x:v>L</x:v>
      </x:c>
      <x:c r="N241" s="9" t="n">
        <x:f>IF(M241="W",1,IF(M241="L",0,""))</x:f>
        <x:v>0</x:v>
      </x:c>
      <x:c r="O241" s="24" t="n">
        <x:f>IF(OR(M241="W",M241="L"),(L241-N241)^2,"")</x:f>
        <x:v>0.22089999999999999</x:v>
      </x:c>
      <x:c r="P241" s="9" t="str">
        <x:v>YES</x:v>
      </x:c>
      <x:c r="Q241" s="9" t="str">
        <x:v>40-49</x:v>
      </x:c>
      <x:c r="R241" s="9" t="str">
        <x:v>NO</x:v>
      </x:c>
      <x:c r="S241" s="10" t="str">
        <x:v>Sofascore final and quarter table; NZNBL recap/search result checked 2026-06-20 18:02 AEST</x:v>
      </x:c>
      <x:c r="T241" s="10" t="str">
        <x:f>IF(IFERROR(ISNUMBER(SEARCH("http",S241)),FALSE),"YES","NO")</x:f>
        <x:v>NO</x:v>
      </x:c>
      <x:c r="U241" s="10" t="str">
        <x:v>YES</x:v>
      </x:c>
      <x:c r="V241" s="10" t="str">
        <x:v>NO</x:v>
      </x:c>
      <x:c r="W241" s="10" t="str">
        <x:v>LEGACY_UNVERIFIED_SNAPSHOT: no immutable cutoff/model/source packet</x:v>
      </x:c>
      <x:c r="X241" s="10" t="str">
        <x:v>potential_post_event_input_text; exact_complement_selection</x:v>
      </x:c>
    </x:row>
    <x:row r="242">
      <x:c r="A242" s="9" t="n">
        <x:v>238</x:v>
      </x:c>
      <x:c r="B242" s="9" t="str">
        <x:v>BKB-NZNBL-20260620-AKL-HBH</x:v>
      </x:c>
      <x:c r="C242" s="25" t="str">
        <x:v>2026-06-20</x:v>
      </x:c>
      <x:c r="D242" s="9" t="str">
        <x:v>Basketball</x:v>
      </x:c>
      <x:c r="E242" s="9" t="str">
        <x:v>Basketball/NZNBL</x:v>
      </x:c>
      <x:c r="F242" s="10" t="str">
        <x:v>Auckland Tuatara vs Hawke's Bay Hawks</x:v>
      </x:c>
      <x:c r="G242" s="10" t="str">
        <x:v>New Zealand NBL regular season</x:v>
      </x:c>
      <x:c r="H242" s="10" t="str">
        <x:v>Tuatara -15.5, Hawks +15.5, full total 184.5, 1H total 92.5</x:v>
      </x:c>
      <x:c r="I242" s="9" t="n">
        <x:v>6</x:v>
      </x:c>
      <x:c r="J242" s="10" t="str">
        <x:v>Hawke's Bay Hawks +15.5</x:v>
      </x:c>
      <x:c r="K242" s="9" t="str">
        <x:v>+15.5</x:v>
      </x:c>
      <x:c r="L242" s="23" t="n">
        <x:v>0.44</x:v>
      </x:c>
      <x:c r="M242" s="9" t="str">
        <x:v>W</x:v>
      </x:c>
      <x:c r="N242" s="9" t="n">
        <x:f>IF(M242="W",1,IF(M242="L",0,""))</x:f>
        <x:v>1</x:v>
      </x:c>
      <x:c r="O242" s="24" t="n">
        <x:f>IF(OR(M242="W",M242="L"),(L242-N242)^2,"")</x:f>
        <x:v>0.31360000000000005</x:v>
      </x:c>
      <x:c r="P242" s="9" t="str">
        <x:v>YES</x:v>
      </x:c>
      <x:c r="Q242" s="9" t="str">
        <x:v>40-49</x:v>
      </x:c>
      <x:c r="R242" s="9" t="str">
        <x:v>NO</x:v>
      </x:c>
      <x:c r="S242" s="10" t="str">
        <x:v>Sofascore final and quarter table; NZNBL recap/search result checked 2026-06-20 18:02 AEST</x:v>
      </x:c>
      <x:c r="T242" s="10" t="str">
        <x:f>IF(IFERROR(ISNUMBER(SEARCH("http",S242)),FALSE),"YES","NO")</x:f>
        <x:v>NO</x:v>
      </x:c>
      <x:c r="U242" s="10" t="str">
        <x:v>YES</x:v>
      </x:c>
      <x:c r="V242" s="10" t="str">
        <x:v>NO</x:v>
      </x:c>
      <x:c r="W242" s="10" t="str">
        <x:v>LEGACY_UNVERIFIED_SNAPSHOT: no immutable cutoff/model/source packet</x:v>
      </x:c>
      <x:c r="X242" s="10" t="str">
        <x:v>projection_error; rank_error; potential_post_event_input_text; exact_complement_selection</x:v>
      </x:c>
    </x:row>
    <x:row r="243">
      <x:c r="A243" s="9" t="n">
        <x:v>239</x:v>
      </x:c>
      <x:c r="B243" s="9" t="str">
        <x:v>BASE-NPB-20260620-SEI-ORI</x:v>
      </x:c>
      <x:c r="C243" s="25" t="str">
        <x:v>2026-06-20</x:v>
      </x:c>
      <x:c r="D243" s="9" t="str">
        <x:v>Baseball</x:v>
      </x:c>
      <x:c r="E243" s="9" t="str">
        <x:v>Baseball/NPB</x:v>
      </x:c>
      <x:c r="F243" s="10" t="str">
        <x:v>Saitama Seibu Lions @ ORIX Buffaloes</x:v>
      </x:c>
      <x:c r="G243" s="10" t="str">
        <x:v>NPB Pacific League regular season</x:v>
      </x:c>
      <x:c r="H243" s="10" t="str">
        <x:v>Buffaloes +1.5, Lions +0.5, full-game total 6.5</x:v>
      </x:c>
      <x:c r="I243" s="9" t="n">
        <x:v>1</x:v>
      </x:c>
      <x:c r="J243" s="10" t="str">
        <x:v>Buffaloes +1.5</x:v>
      </x:c>
      <x:c r="K243" s="9" t="str">
        <x:v>+1.5</x:v>
      </x:c>
      <x:c r="L243" s="23" t="n">
        <x:v>0.63</x:v>
      </x:c>
      <x:c r="M243" s="9" t="str">
        <x:v>L</x:v>
      </x:c>
      <x:c r="N243" s="9" t="n">
        <x:f>IF(M243="W",1,IF(M243="L",0,""))</x:f>
        <x:v>0</x:v>
      </x:c>
      <x:c r="O243" s="24" t="n">
        <x:f>IF(OR(M243="W",M243="L"),(L243-N243)^2,"")</x:f>
        <x:v>0.39690000000000003</x:v>
      </x:c>
      <x:c r="P243" s="9" t="str">
        <x:v>NO</x:v>
      </x:c>
      <x:c r="Q243" s="9" t="str">
        <x:v>60-69</x:v>
      </x:c>
      <x:c r="R243" s="9" t="str">
        <x:v>NO</x:v>
      </x:c>
      <x:c r="S243" s="10" t="str">
        <x:v>Sofascore final and inning line checked 2026-06-20 18:02 AEST</x:v>
      </x:c>
      <x:c r="T243" s="10" t="str">
        <x:f>IF(IFERROR(ISNUMBER(SEARCH("http",S243)),FALSE),"YES","NO")</x:f>
        <x:v>NO</x:v>
      </x:c>
      <x:c r="U243" s="10" t="str">
        <x:v>YES</x:v>
      </x:c>
      <x:c r="V243" s="10" t="str">
        <x:v>NO</x:v>
      </x:c>
      <x:c r="W243" s="10" t="str">
        <x:v>LEGACY_UNVERIFIED_SNAPSHOT: no immutable cutoff/model/source packet</x:v>
      </x:c>
      <x:c r="X243" s="10" t="str">
        <x:v>projection_error; rank_error; potential_post_event_input_text</x:v>
      </x:c>
    </x:row>
    <x:row r="244">
      <x:c r="A244" s="9" t="n">
        <x:v>240</x:v>
      </x:c>
      <x:c r="B244" s="9" t="str">
        <x:v>BASE-NPB-20260620-SEI-ORI</x:v>
      </x:c>
      <x:c r="C244" s="25" t="str">
        <x:v>2026-06-20</x:v>
      </x:c>
      <x:c r="D244" s="9" t="str">
        <x:v>Baseball</x:v>
      </x:c>
      <x:c r="E244" s="9" t="str">
        <x:v>Baseball/NPB</x:v>
      </x:c>
      <x:c r="F244" s="10" t="str">
        <x:v>Saitama Seibu Lions @ ORIX Buffaloes</x:v>
      </x:c>
      <x:c r="G244" s="10" t="str">
        <x:v>NPB Pacific League regular season</x:v>
      </x:c>
      <x:c r="H244" s="10" t="str">
        <x:v>Buffaloes +1.5, Lions +0.5, full-game total 6.5</x:v>
      </x:c>
      <x:c r="I244" s="9" t="n">
        <x:v>2</x:v>
      </x:c>
      <x:c r="J244" s="10" t="str">
        <x:v>Lions +0.5 / avoid loss</x:v>
      </x:c>
      <x:c r="K244" s="9" t="str">
        <x:v>Seibu +0.5</x:v>
      </x:c>
      <x:c r="L244" s="23" t="n">
        <x:v>0.57</x:v>
      </x:c>
      <x:c r="M244" s="9" t="str">
        <x:v>W</x:v>
      </x:c>
      <x:c r="N244" s="9" t="n">
        <x:f>IF(M244="W",1,IF(M244="L",0,""))</x:f>
        <x:v>1</x:v>
      </x:c>
      <x:c r="O244" s="24" t="n">
        <x:f>IF(OR(M244="W",M244="L"),(L244-N244)^2,"")</x:f>
        <x:v>0.18490000000000004</x:v>
      </x:c>
      <x:c r="P244" s="9" t="str">
        <x:v>NO</x:v>
      </x:c>
      <x:c r="Q244" s="9" t="str">
        <x:v>50-59</x:v>
      </x:c>
      <x:c r="R244" s="9" t="str">
        <x:v>NO</x:v>
      </x:c>
      <x:c r="S244" s="10" t="str">
        <x:v>Sofascore final and inning line checked 2026-06-20 18:02 AEST</x:v>
      </x:c>
      <x:c r="T244" s="10" t="str">
        <x:f>IF(IFERROR(ISNUMBER(SEARCH("http",S244)),FALSE),"YES","NO")</x:f>
        <x:v>NO</x:v>
      </x:c>
      <x:c r="U244" s="10" t="str">
        <x:v>YES</x:v>
      </x:c>
      <x:c r="V244" s="10" t="str">
        <x:v>NO</x:v>
      </x:c>
      <x:c r="W244" s="10" t="str">
        <x:v>LEGACY_UNVERIFIED_SNAPSHOT: no immutable cutoff/model/source packet</x:v>
      </x:c>
      <x:c r="X244" s="10" t="str">
        <x:v>rank_error; potential_post_event_input_text</x:v>
      </x:c>
    </x:row>
    <x:row r="245">
      <x:c r="A245" s="9" t="n">
        <x:v>241</x:v>
      </x:c>
      <x:c r="B245" s="9" t="str">
        <x:v>BASE-NPB-20260620-SEI-ORI</x:v>
      </x:c>
      <x:c r="C245" s="25" t="str">
        <x:v>2026-06-20</x:v>
      </x:c>
      <x:c r="D245" s="9" t="str">
        <x:v>Baseball</x:v>
      </x:c>
      <x:c r="E245" s="9" t="str">
        <x:v>Baseball/NPB</x:v>
      </x:c>
      <x:c r="F245" s="10" t="str">
        <x:v>Saitama Seibu Lions @ ORIX Buffaloes</x:v>
      </x:c>
      <x:c r="G245" s="10" t="str">
        <x:v>NPB Pacific League regular season</x:v>
      </x:c>
      <x:c r="H245" s="10" t="str">
        <x:v>Buffaloes +1.5, Lions +0.5, full-game total 6.5</x:v>
      </x:c>
      <x:c r="I245" s="9" t="n">
        <x:v>3</x:v>
      </x:c>
      <x:c r="J245" s="10" t="str">
        <x:v>Combined Total Under 6.5 runs</x:v>
      </x:c>
      <x:c r="K245" s="9" t="str">
        <x:v>Under 6.5</x:v>
      </x:c>
      <x:c r="L245" s="23" t="n">
        <x:v>0.52</x:v>
      </x:c>
      <x:c r="M245" s="9" t="str">
        <x:v>W</x:v>
      </x:c>
      <x:c r="N245" s="9" t="n">
        <x:f>IF(M245="W",1,IF(M245="L",0,""))</x:f>
        <x:v>1</x:v>
      </x:c>
      <x:c r="O245" s="24" t="n">
        <x:f>IF(OR(M245="W",M245="L"),(L245-N245)^2,"")</x:f>
        <x:v>0.2304</x:v>
      </x:c>
      <x:c r="P245" s="9" t="str">
        <x:v>YES</x:v>
      </x:c>
      <x:c r="Q245" s="9" t="str">
        <x:v>50-59</x:v>
      </x:c>
      <x:c r="R245" s="9" t="str">
        <x:v>NO</x:v>
      </x:c>
      <x:c r="S245" s="10" t="str">
        <x:v>Sofascore final and inning line checked 2026-06-20 18:02 AEST</x:v>
      </x:c>
      <x:c r="T245" s="10" t="str">
        <x:f>IF(IFERROR(ISNUMBER(SEARCH("http",S245)),FALSE),"YES","NO")</x:f>
        <x:v>NO</x:v>
      </x:c>
      <x:c r="U245" s="10" t="str">
        <x:v>YES</x:v>
      </x:c>
      <x:c r="V245" s="10" t="str">
        <x:v>NO</x:v>
      </x:c>
      <x:c r="W245" s="10" t="str">
        <x:v>LEGACY_UNVERIFIED_SNAPSHOT: no immutable cutoff/model/source packet</x:v>
      </x:c>
      <x:c r="X245" s="10" t="str">
        <x:v>potential_post_event_input_text; exact_complement_selection</x:v>
      </x:c>
    </x:row>
    <x:row r="246">
      <x:c r="A246" s="9" t="n">
        <x:v>242</x:v>
      </x:c>
      <x:c r="B246" s="9" t="str">
        <x:v>BASE-NPB-20260620-SEI-ORI</x:v>
      </x:c>
      <x:c r="C246" s="25" t="str">
        <x:v>2026-06-20</x:v>
      </x:c>
      <x:c r="D246" s="9" t="str">
        <x:v>Baseball</x:v>
      </x:c>
      <x:c r="E246" s="9" t="str">
        <x:v>Baseball/NPB</x:v>
      </x:c>
      <x:c r="F246" s="10" t="str">
        <x:v>Saitama Seibu Lions @ ORIX Buffaloes</x:v>
      </x:c>
      <x:c r="G246" s="10" t="str">
        <x:v>NPB Pacific League regular season</x:v>
      </x:c>
      <x:c r="H246" s="10" t="str">
        <x:v>Buffaloes +1.5, Lions +0.5, full-game total 6.5</x:v>
      </x:c>
      <x:c r="I246" s="9" t="n">
        <x:v>4</x:v>
      </x:c>
      <x:c r="J246" s="10" t="str">
        <x:v>Combined Total Over 6.5 runs</x:v>
      </x:c>
      <x:c r="K246" s="9" t="str">
        <x:v>Over 6.5</x:v>
      </x:c>
      <x:c r="L246" s="23" t="n">
        <x:v>0.48</x:v>
      </x:c>
      <x:c r="M246" s="9" t="str">
        <x:v>L</x:v>
      </x:c>
      <x:c r="N246" s="9" t="n">
        <x:f>IF(M246="W",1,IF(M246="L",0,""))</x:f>
        <x:v>0</x:v>
      </x:c>
      <x:c r="O246" s="24" t="n">
        <x:f>IF(OR(M246="W",M246="L"),(L246-N246)^2,"")</x:f>
        <x:v>0.2304</x:v>
      </x:c>
      <x:c r="P246" s="9" t="str">
        <x:v>YES</x:v>
      </x:c>
      <x:c r="Q246" s="9" t="str">
        <x:v>40-49</x:v>
      </x:c>
      <x:c r="R246" s="9" t="str">
        <x:v>NO</x:v>
      </x:c>
      <x:c r="S246" s="10" t="str">
        <x:v>Sofascore final and inning line checked 2026-06-20 18:02 AEST</x:v>
      </x:c>
      <x:c r="T246" s="10" t="str">
        <x:f>IF(IFERROR(ISNUMBER(SEARCH("http",S246)),FALSE),"YES","NO")</x:f>
        <x:v>NO</x:v>
      </x:c>
      <x:c r="U246" s="10" t="str">
        <x:v>YES</x:v>
      </x:c>
      <x:c r="V246" s="10" t="str">
        <x:v>NO</x:v>
      </x:c>
      <x:c r="W246" s="10" t="str">
        <x:v>LEGACY_UNVERIFIED_SNAPSHOT: no immutable cutoff/model/source packet</x:v>
      </x:c>
      <x:c r="X246" s="10" t="str">
        <x:v>potential_post_event_input_text; exact_complement_selection</x:v>
      </x:c>
    </x:row>
    <x:row r="247">
      <x:c r="A247" s="9" t="n">
        <x:v>243</x:v>
      </x:c>
      <x:c r="B247" s="9" t="str">
        <x:v>SOC-WC2026-20260620-TUR-PAR</x:v>
      </x:c>
      <x:c r="C247" s="25" t="str">
        <x:v>2026-06-20</x:v>
      </x:c>
      <x:c r="D247" s="9" t="str">
        <x:v>Soccer</x:v>
      </x:c>
      <x:c r="E247" s="9" t="str">
        <x:v>Soccer/FIFA World Cup</x:v>
      </x:c>
      <x:c r="F247" s="10" t="str">
        <x:v>Turkiye vs Paraguay</x:v>
      </x:c>
      <x:c r="G247" s="10" t="str">
        <x:v>FIFA World Cup 2026 Group D</x:v>
      </x:c>
      <x:c r="H247" s="10" t="str">
        <x:v>1H Over/Under 0.5 and full-game Over/Under 2.5</x:v>
      </x:c>
      <x:c r="I247" s="9" t="n">
        <x:v>1</x:v>
      </x:c>
      <x:c r="J247" s="10" t="str">
        <x:v>Combined 1H Goals Over 0.5</x:v>
      </x:c>
      <x:c r="K247" s="9" t="str">
        <x:v>1H Over 0.5</x:v>
      </x:c>
      <x:c r="L247" s="23" t="n">
        <x:v>0.6</x:v>
      </x:c>
      <x:c r="M247" s="9" t="str">
        <x:v>W</x:v>
      </x:c>
      <x:c r="N247" s="9" t="n">
        <x:f>IF(M247="W",1,IF(M247="L",0,""))</x:f>
        <x:v>1</x:v>
      </x:c>
      <x:c r="O247" s="24" t="n">
        <x:f>IF(OR(M247="W",M247="L"),(L247-N247)^2,"")</x:f>
        <x:v>0.16000000000000003</x:v>
      </x:c>
      <x:c r="P247" s="9" t="str">
        <x:v>YES</x:v>
      </x:c>
      <x:c r="Q247" s="9" t="str">
        <x:v>60-69</x:v>
      </x:c>
      <x:c r="R247" s="9" t="str">
        <x:v>NO</x:v>
      </x:c>
      <x:c r="S247" s="10" t="str">
        <x:v>ESPN final score and FOX box/play-by-play checked 2026-06-20 18:02 AEST</x:v>
      </x:c>
      <x:c r="T247" s="10" t="str">
        <x:f>IF(IFERROR(ISNUMBER(SEARCH("http",S247)),FALSE),"YES","NO")</x:f>
        <x:v>NO</x:v>
      </x:c>
      <x:c r="U247" s="10" t="str">
        <x:v>YES</x:v>
      </x:c>
      <x:c r="V247" s="10" t="str">
        <x:v>NO</x:v>
      </x:c>
      <x:c r="W247" s="10" t="str">
        <x:v>LEGACY_UNVERIFIED_SNAPSHOT: no immutable cutoff/model/source packet</x:v>
      </x:c>
      <x:c r="X247" s="10" t="str">
        <x:v>potential_post_event_input_text; exact_complement_selection</x:v>
      </x:c>
    </x:row>
    <x:row r="248">
      <x:c r="A248" s="9" t="n">
        <x:v>244</x:v>
      </x:c>
      <x:c r="B248" s="9" t="str">
        <x:v>SOC-WC2026-20260620-TUR-PAR</x:v>
      </x:c>
      <x:c r="C248" s="25" t="str">
        <x:v>2026-06-20</x:v>
      </x:c>
      <x:c r="D248" s="9" t="str">
        <x:v>Soccer</x:v>
      </x:c>
      <x:c r="E248" s="9" t="str">
        <x:v>Soccer/FIFA World Cup</x:v>
      </x:c>
      <x:c r="F248" s="10" t="str">
        <x:v>Turkiye vs Paraguay</x:v>
      </x:c>
      <x:c r="G248" s="10" t="str">
        <x:v>FIFA World Cup 2026 Group D</x:v>
      </x:c>
      <x:c r="H248" s="10" t="str">
        <x:v>1H Over/Under 0.5 and full-game Over/Under 2.5</x:v>
      </x:c>
      <x:c r="I248" s="9" t="n">
        <x:v>2</x:v>
      </x:c>
      <x:c r="J248" s="10" t="str">
        <x:v>Combined Total Goals Over 2.5</x:v>
      </x:c>
      <x:c r="K248" s="9" t="str">
        <x:v>Over 2.5</x:v>
      </x:c>
      <x:c r="L248" s="23" t="n">
        <x:v>0.53</x:v>
      </x:c>
      <x:c r="M248" s="9" t="str">
        <x:v>L</x:v>
      </x:c>
      <x:c r="N248" s="9" t="n">
        <x:f>IF(M248="W",1,IF(M248="L",0,""))</x:f>
        <x:v>0</x:v>
      </x:c>
      <x:c r="O248" s="24" t="n">
        <x:f>IF(OR(M248="W",M248="L"),(L248-N248)^2,"")</x:f>
        <x:v>0.28090000000000004</x:v>
      </x:c>
      <x:c r="P248" s="9" t="str">
        <x:v>YES</x:v>
      </x:c>
      <x:c r="Q248" s="9" t="str">
        <x:v>50-59</x:v>
      </x:c>
      <x:c r="R248" s="9" t="str">
        <x:v>NO</x:v>
      </x:c>
      <x:c r="S248" s="10" t="str">
        <x:v>ESPN final score and FOX box/play-by-play checked 2026-06-20 18:02 AEST</x:v>
      </x:c>
      <x:c r="T248" s="10" t="str">
        <x:f>IF(IFERROR(ISNUMBER(SEARCH("http",S248)),FALSE),"YES","NO")</x:f>
        <x:v>NO</x:v>
      </x:c>
      <x:c r="U248" s="10" t="str">
        <x:v>YES</x:v>
      </x:c>
      <x:c r="V248" s="10" t="str">
        <x:v>NO</x:v>
      </x:c>
      <x:c r="W248" s="10" t="str">
        <x:v>LEGACY_UNVERIFIED_SNAPSHOT: no immutable cutoff/model/source packet</x:v>
      </x:c>
      <x:c r="X248" s="10" t="str">
        <x:v>projection_error; rank_error; potential_post_event_input_text; exact_complement_selection</x:v>
      </x:c>
    </x:row>
    <x:row r="249">
      <x:c r="A249" s="9" t="n">
        <x:v>245</x:v>
      </x:c>
      <x:c r="B249" s="9" t="str">
        <x:v>SOC-WC2026-20260620-TUR-PAR</x:v>
      </x:c>
      <x:c r="C249" s="25" t="str">
        <x:v>2026-06-20</x:v>
      </x:c>
      <x:c r="D249" s="9" t="str">
        <x:v>Soccer</x:v>
      </x:c>
      <x:c r="E249" s="9" t="str">
        <x:v>Soccer/FIFA World Cup</x:v>
      </x:c>
      <x:c r="F249" s="10" t="str">
        <x:v>Turkiye vs Paraguay</x:v>
      </x:c>
      <x:c r="G249" s="10" t="str">
        <x:v>FIFA World Cup 2026 Group D</x:v>
      </x:c>
      <x:c r="H249" s="10" t="str">
        <x:v>1H Over/Under 0.5 and full-game Over/Under 2.5</x:v>
      </x:c>
      <x:c r="I249" s="9" t="n">
        <x:v>3</x:v>
      </x:c>
      <x:c r="J249" s="10" t="str">
        <x:v>Combined Total Goals Under 2.5</x:v>
      </x:c>
      <x:c r="K249" s="9" t="str">
        <x:v>Under 2.5</x:v>
      </x:c>
      <x:c r="L249" s="23" t="n">
        <x:v>0.47</x:v>
      </x:c>
      <x:c r="M249" s="9" t="str">
        <x:v>W</x:v>
      </x:c>
      <x:c r="N249" s="9" t="n">
        <x:f>IF(M249="W",1,IF(M249="L",0,""))</x:f>
        <x:v>1</x:v>
      </x:c>
      <x:c r="O249" s="24" t="n">
        <x:f>IF(OR(M249="W",M249="L"),(L249-N249)^2,"")</x:f>
        <x:v>0.28090000000000004</x:v>
      </x:c>
      <x:c r="P249" s="9" t="str">
        <x:v>YES</x:v>
      </x:c>
      <x:c r="Q249" s="9" t="str">
        <x:v>40-49</x:v>
      </x:c>
      <x:c r="R249" s="9" t="str">
        <x:v>NO</x:v>
      </x:c>
      <x:c r="S249" s="10" t="str">
        <x:v>ESPN final score and FOX box/play-by-play checked 2026-06-20 18:02 AEST</x:v>
      </x:c>
      <x:c r="T249" s="10" t="str">
        <x:f>IF(IFERROR(ISNUMBER(SEARCH("http",S249)),FALSE),"YES","NO")</x:f>
        <x:v>NO</x:v>
      </x:c>
      <x:c r="U249" s="10" t="str">
        <x:v>YES</x:v>
      </x:c>
      <x:c r="V249" s="10" t="str">
        <x:v>NO</x:v>
      </x:c>
      <x:c r="W249" s="10" t="str">
        <x:v>LEGACY_UNVERIFIED_SNAPSHOT: no immutable cutoff/model/source packet</x:v>
      </x:c>
      <x:c r="X249" s="10" t="str">
        <x:v>rank_error; potential_post_event_input_text; exact_complement_selection</x:v>
      </x:c>
    </x:row>
    <x:row r="250">
      <x:c r="A250" s="9" t="n">
        <x:v>246</x:v>
      </x:c>
      <x:c r="B250" s="9" t="str">
        <x:v>SOC-WC2026-20260620-TUR-PAR</x:v>
      </x:c>
      <x:c r="C250" s="25" t="str">
        <x:v>2026-06-20</x:v>
      </x:c>
      <x:c r="D250" s="9" t="str">
        <x:v>Soccer</x:v>
      </x:c>
      <x:c r="E250" s="9" t="str">
        <x:v>Soccer/FIFA World Cup</x:v>
      </x:c>
      <x:c r="F250" s="10" t="str">
        <x:v>Turkiye vs Paraguay</x:v>
      </x:c>
      <x:c r="G250" s="10" t="str">
        <x:v>FIFA World Cup 2026 Group D</x:v>
      </x:c>
      <x:c r="H250" s="10" t="str">
        <x:v>1H Over/Under 0.5 and full-game Over/Under 2.5</x:v>
      </x:c>
      <x:c r="I250" s="9" t="n">
        <x:v>4</x:v>
      </x:c>
      <x:c r="J250" s="10" t="str">
        <x:v>Combined 1H Goals Under 0.5</x:v>
      </x:c>
      <x:c r="K250" s="9" t="str">
        <x:v>1H Under 0.5</x:v>
      </x:c>
      <x:c r="L250" s="23" t="n">
        <x:v>0.4</x:v>
      </x:c>
      <x:c r="M250" s="9" t="str">
        <x:v>L</x:v>
      </x:c>
      <x:c r="N250" s="9" t="n">
        <x:f>IF(M250="W",1,IF(M250="L",0,""))</x:f>
        <x:v>0</x:v>
      </x:c>
      <x:c r="O250" s="24" t="n">
        <x:f>IF(OR(M250="W",M250="L"),(L250-N250)^2,"")</x:f>
        <x:v>0.16000000000000003</x:v>
      </x:c>
      <x:c r="P250" s="9" t="str">
        <x:v>YES</x:v>
      </x:c>
      <x:c r="Q250" s="9" t="str">
        <x:v>40-49</x:v>
      </x:c>
      <x:c r="R250" s="9" t="str">
        <x:v>NO</x:v>
      </x:c>
      <x:c r="S250" s="10" t="str">
        <x:v>ESPN final score and FOX box/play-by-play checked 2026-06-20 18:02 AEST</x:v>
      </x:c>
      <x:c r="T250" s="10" t="str">
        <x:f>IF(IFERROR(ISNUMBER(SEARCH("http",S250)),FALSE),"YES","NO")</x:f>
        <x:v>NO</x:v>
      </x:c>
      <x:c r="U250" s="10" t="str">
        <x:v>YES</x:v>
      </x:c>
      <x:c r="V250" s="10" t="str">
        <x:v>NO</x:v>
      </x:c>
      <x:c r="W250" s="10" t="str">
        <x:v>LEGACY_UNVERIFIED_SNAPSHOT: no immutable cutoff/model/source packet</x:v>
      </x:c>
      <x:c r="X250" s="10" t="str">
        <x:v>potential_post_event_input_text; exact_complement_selection</x:v>
      </x:c>
    </x:row>
    <x:row r="251">
      <x:c r="A251" s="9" t="n">
        <x:v>247</x:v>
      </x:c>
      <x:c r="B251" s="9" t="str">
        <x:v>CRIC-WT20WC-20260620-AUSW-NEDW</x:v>
      </x:c>
      <x:c r="C251" s="25" t="str">
        <x:v>2026-06-20</x:v>
      </x:c>
      <x:c r="D251" s="9" t="str">
        <x:v>Cricket</x:v>
      </x:c>
      <x:c r="E251" s="9" t="str">
        <x:v>Cricket/WT20I</x:v>
      </x:c>
      <x:c r="F251" s="10" t="str">
        <x:v>Australia Women vs Netherlands Women</x:v>
      </x:c>
      <x:c r="G251" s="10" t="str">
        <x:v>ICC Women's T20 World Cup 2026 Group A</x:v>
      </x:c>
      <x:c r="H251" s="10" t="str">
        <x:v>Australia 1st innings full total 197.5 and powerplay total 56.5</x:v>
      </x:c>
      <x:c r="I251" s="9" t="n">
        <x:v>1</x:v>
      </x:c>
      <x:c r="J251" s="10" t="str">
        <x:v>Australia 1st innings 20 overs Under 197.5 runs</x:v>
      </x:c>
      <x:c r="K251" s="9" t="str">
        <x:v>Under 197.5</x:v>
      </x:c>
      <x:c r="L251" s="23" t="n">
        <x:v>0.61</x:v>
      </x:c>
      <x:c r="M251" s="9" t="str">
        <x:v>L</x:v>
      </x:c>
      <x:c r="N251" s="9" t="n">
        <x:f>IF(M251="W",1,IF(M251="L",0,""))</x:f>
        <x:v>0</x:v>
      </x:c>
      <x:c r="O251" s="24" t="n">
        <x:f>IF(OR(M251="W",M251="L"),(L251-N251)^2,"")</x:f>
        <x:v>0.3721</x:v>
      </x:c>
      <x:c r="P251" s="9" t="str">
        <x:v>YES</x:v>
      </x:c>
      <x:c r="Q251" s="9" t="str">
        <x:v>60-69</x:v>
      </x:c>
      <x:c r="R251" s="9" t="str">
        <x:v>NO</x:v>
      </x:c>
      <x:c r="S251" s="10" t="str">
        <x:v>Cricbuzz scorecard checked 2026-06-20 21:12 AEST</x:v>
      </x:c>
      <x:c r="T251" s="10" t="str">
        <x:f>IF(IFERROR(ISNUMBER(SEARCH("http",S251)),FALSE),"YES","NO")</x:f>
        <x:v>NO</x:v>
      </x:c>
      <x:c r="U251" s="10" t="str">
        <x:v>YES</x:v>
      </x:c>
      <x:c r="V251" s="10" t="str">
        <x:v>NO</x:v>
      </x:c>
      <x:c r="W251" s="10" t="str">
        <x:v>LEGACY_UNVERIFIED_SNAPSHOT: no immutable cutoff/model/source packet</x:v>
      </x:c>
      <x:c r="X251" s="10" t="str">
        <x:v>projection_error; rank_error; potential_post_event_input_text; exact_complement_selection</x:v>
      </x:c>
    </x:row>
    <x:row r="252">
      <x:c r="A252" s="9" t="n">
        <x:v>248</x:v>
      </x:c>
      <x:c r="B252" s="9" t="str">
        <x:v>CRIC-WT20WC-20260620-AUSW-NEDW</x:v>
      </x:c>
      <x:c r="C252" s="25" t="str">
        <x:v>2026-06-20</x:v>
      </x:c>
      <x:c r="D252" s="9" t="str">
        <x:v>Cricket</x:v>
      </x:c>
      <x:c r="E252" s="9" t="str">
        <x:v>Cricket/WT20I</x:v>
      </x:c>
      <x:c r="F252" s="10" t="str">
        <x:v>Australia Women vs Netherlands Women</x:v>
      </x:c>
      <x:c r="G252" s="10" t="str">
        <x:v>ICC Women's T20 World Cup 2026 Group A</x:v>
      </x:c>
      <x:c r="H252" s="10" t="str">
        <x:v>Australia 1st innings full total 197.5 and powerplay total 56.5</x:v>
      </x:c>
      <x:c r="I252" s="9" t="n">
        <x:v>2</x:v>
      </x:c>
      <x:c r="J252" s="10" t="str">
        <x:v>Australia 1st innings 6 overs Over 56.5 runs</x:v>
      </x:c>
      <x:c r="K252" s="9" t="str">
        <x:v>Over 56.5</x:v>
      </x:c>
      <x:c r="L252" s="23" t="n">
        <x:v>0.54</x:v>
      </x:c>
      <x:c r="M252" s="9" t="str">
        <x:v>W</x:v>
      </x:c>
      <x:c r="N252" s="9" t="n">
        <x:f>IF(M252="W",1,IF(M252="L",0,""))</x:f>
        <x:v>1</x:v>
      </x:c>
      <x:c r="O252" s="24" t="n">
        <x:f>IF(OR(M252="W",M252="L"),(L252-N252)^2,"")</x:f>
        <x:v>0.21159999999999995</x:v>
      </x:c>
      <x:c r="P252" s="9" t="str">
        <x:v>YES</x:v>
      </x:c>
      <x:c r="Q252" s="9" t="str">
        <x:v>50-59</x:v>
      </x:c>
      <x:c r="R252" s="9" t="str">
        <x:v>NO</x:v>
      </x:c>
      <x:c r="S252" s="10" t="str">
        <x:v>Cricbuzz scorecard checked 2026-06-20 21:12 AEST</x:v>
      </x:c>
      <x:c r="T252" s="10" t="str">
        <x:f>IF(IFERROR(ISNUMBER(SEARCH("http",S252)),FALSE),"YES","NO")</x:f>
        <x:v>NO</x:v>
      </x:c>
      <x:c r="U252" s="10" t="str">
        <x:v>YES</x:v>
      </x:c>
      <x:c r="V252" s="10" t="str">
        <x:v>NO</x:v>
      </x:c>
      <x:c r="W252" s="10" t="str">
        <x:v>LEGACY_UNVERIFIED_SNAPSHOT: no immutable cutoff/model/source packet</x:v>
      </x:c>
      <x:c r="X252" s="10" t="str">
        <x:v>projection_error; rank_error; potential_post_event_input_text; exact_complement_selection</x:v>
      </x:c>
    </x:row>
    <x:row r="253">
      <x:c r="A253" s="9" t="n">
        <x:v>249</x:v>
      </x:c>
      <x:c r="B253" s="9" t="str">
        <x:v>CRIC-WT20WC-20260620-AUSW-NEDW</x:v>
      </x:c>
      <x:c r="C253" s="25" t="str">
        <x:v>2026-06-20</x:v>
      </x:c>
      <x:c r="D253" s="9" t="str">
        <x:v>Cricket</x:v>
      </x:c>
      <x:c r="E253" s="9" t="str">
        <x:v>Cricket/WT20I</x:v>
      </x:c>
      <x:c r="F253" s="10" t="str">
        <x:v>Australia Women vs Netherlands Women</x:v>
      </x:c>
      <x:c r="G253" s="10" t="str">
        <x:v>ICC Women's T20 World Cup 2026 Group A</x:v>
      </x:c>
      <x:c r="H253" s="10" t="str">
        <x:v>Australia 1st innings full total 197.5 and powerplay total 56.5</x:v>
      </x:c>
      <x:c r="I253" s="9" t="n">
        <x:v>3</x:v>
      </x:c>
      <x:c r="J253" s="10" t="str">
        <x:v>Australia 1st innings 6 overs Under 56.5 runs</x:v>
      </x:c>
      <x:c r="K253" s="9" t="str">
        <x:v>Under 56.5</x:v>
      </x:c>
      <x:c r="L253" s="23" t="n">
        <x:v>0.46</x:v>
      </x:c>
      <x:c r="M253" s="9" t="str">
        <x:v>L</x:v>
      </x:c>
      <x:c r="N253" s="9" t="n">
        <x:f>IF(M253="W",1,IF(M253="L",0,""))</x:f>
        <x:v>0</x:v>
      </x:c>
      <x:c r="O253" s="24" t="n">
        <x:f>IF(OR(M253="W",M253="L"),(L253-N253)^2,"")</x:f>
        <x:v>0.2116</x:v>
      </x:c>
      <x:c r="P253" s="9" t="str">
        <x:v>YES</x:v>
      </x:c>
      <x:c r="Q253" s="9" t="str">
        <x:v>40-49</x:v>
      </x:c>
      <x:c r="R253" s="9" t="str">
        <x:v>NO</x:v>
      </x:c>
      <x:c r="S253" s="10" t="str">
        <x:v>Cricbuzz scorecard checked 2026-06-20 21:12 AEST</x:v>
      </x:c>
      <x:c r="T253" s="10" t="str">
        <x:f>IF(IFERROR(ISNUMBER(SEARCH("http",S253)),FALSE),"YES","NO")</x:f>
        <x:v>NO</x:v>
      </x:c>
      <x:c r="U253" s="10" t="str">
        <x:v>YES</x:v>
      </x:c>
      <x:c r="V253" s="10" t="str">
        <x:v>NO</x:v>
      </x:c>
      <x:c r="W253" s="10" t="str">
        <x:v>LEGACY_UNVERIFIED_SNAPSHOT: no immutable cutoff/model/source packet</x:v>
      </x:c>
      <x:c r="X253" s="10" t="str">
        <x:v>projection_error; rank_error; potential_post_event_input_text; exact_complement_selection</x:v>
      </x:c>
    </x:row>
    <x:row r="254">
      <x:c r="A254" s="9" t="n">
        <x:v>250</x:v>
      </x:c>
      <x:c r="B254" s="9" t="str">
        <x:v>CRIC-WT20WC-20260620-AUSW-NEDW</x:v>
      </x:c>
      <x:c r="C254" s="25" t="str">
        <x:v>2026-06-20</x:v>
      </x:c>
      <x:c r="D254" s="9" t="str">
        <x:v>Cricket</x:v>
      </x:c>
      <x:c r="E254" s="9" t="str">
        <x:v>Cricket/WT20I</x:v>
      </x:c>
      <x:c r="F254" s="10" t="str">
        <x:v>Australia Women vs Netherlands Women</x:v>
      </x:c>
      <x:c r="G254" s="10" t="str">
        <x:v>ICC Women's T20 World Cup 2026 Group A</x:v>
      </x:c>
      <x:c r="H254" s="10" t="str">
        <x:v>Australia 1st innings full total 197.5 and powerplay total 56.5</x:v>
      </x:c>
      <x:c r="I254" s="9" t="n">
        <x:v>4</x:v>
      </x:c>
      <x:c r="J254" s="10" t="str">
        <x:v>Australia 1st innings 20 overs Over 197.5 runs</x:v>
      </x:c>
      <x:c r="K254" s="9" t="str">
        <x:v>Over 197.5</x:v>
      </x:c>
      <x:c r="L254" s="23" t="n">
        <x:v>0.39</x:v>
      </x:c>
      <x:c r="M254" s="9" t="str">
        <x:v>W</x:v>
      </x:c>
      <x:c r="N254" s="9" t="n">
        <x:f>IF(M254="W",1,IF(M254="L",0,""))</x:f>
        <x:v>1</x:v>
      </x:c>
      <x:c r="O254" s="24" t="n">
        <x:f>IF(OR(M254="W",M254="L"),(L254-N254)^2,"")</x:f>
        <x:v>0.3721</x:v>
      </x:c>
      <x:c r="P254" s="9" t="str">
        <x:v>YES</x:v>
      </x:c>
      <x:c r="Q254" s="9" t="str">
        <x:v>30-39</x:v>
      </x:c>
      <x:c r="R254" s="9" t="str">
        <x:v>NO</x:v>
      </x:c>
      <x:c r="S254" s="10" t="str">
        <x:v>Cricbuzz scorecard checked 2026-06-20 21:12 AEST</x:v>
      </x:c>
      <x:c r="T254" s="10" t="str">
        <x:f>IF(IFERROR(ISNUMBER(SEARCH("http",S254)),FALSE),"YES","NO")</x:f>
        <x:v>NO</x:v>
      </x:c>
      <x:c r="U254" s="10" t="str">
        <x:v>YES</x:v>
      </x:c>
      <x:c r="V254" s="10" t="str">
        <x:v>NO</x:v>
      </x:c>
      <x:c r="W254" s="10" t="str">
        <x:v>LEGACY_UNVERIFIED_SNAPSHOT: no immutable cutoff/model/source packet</x:v>
      </x:c>
      <x:c r="X254" s="10" t="str">
        <x:v>projection_error; rank_error; potential_post_event_input_text; exact_complement_selection</x:v>
      </x:c>
    </x:row>
    <x:row r="255">
      <x:c r="A255" s="9" t="n">
        <x:v>251</x:v>
      </x:c>
      <x:c r="B255" s="9" t="str">
        <x:v>CRIC-WT20WC-20260620-PAKW-BANW</x:v>
      </x:c>
      <x:c r="C255" s="25" t="str">
        <x:v>2026-06-20</x:v>
      </x:c>
      <x:c r="D255" s="9" t="str">
        <x:v>Cricket</x:v>
      </x:c>
      <x:c r="E255" s="9" t="str">
        <x:v>Cricket/WT20I</x:v>
      </x:c>
      <x:c r="F255" s="10" t="str">
        <x:v>Pakistan Women vs Bangladesh Women</x:v>
      </x:c>
      <x:c r="G255" s="10" t="str">
        <x:v>ICC Women's T20 World Cup 2026 Group A</x:v>
      </x:c>
      <x:c r="H255" s="10" t="str">
        <x:v>Bangladesh innings full total 133.5 and powerplay total 38.5</x:v>
      </x:c>
      <x:c r="I255" s="9" t="n">
        <x:v>1</x:v>
      </x:c>
      <x:c r="J255" s="10" t="str">
        <x:v>Bangladesh 1st innings 20 overs Under 133.5 runs</x:v>
      </x:c>
      <x:c r="K255" s="9" t="str">
        <x:v>Under 133.5</x:v>
      </x:c>
      <x:c r="L255" s="23" t="n">
        <x:v>0.56</x:v>
      </x:c>
      <x:c r="M255" s="9" t="str">
        <x:v>W</x:v>
      </x:c>
      <x:c r="N255" s="9" t="n">
        <x:f>IF(M255="W",1,IF(M255="L",0,""))</x:f>
        <x:v>1</x:v>
      </x:c>
      <x:c r="O255" s="24" t="n">
        <x:f>IF(OR(M255="W",M255="L"),(L255-N255)^2,"")</x:f>
        <x:v>0.19359999999999997</x:v>
      </x:c>
      <x:c r="P255" s="9" t="str">
        <x:v>YES</x:v>
      </x:c>
      <x:c r="Q255" s="9" t="str">
        <x:v>50-59</x:v>
      </x:c>
      <x:c r="R255" s="9" t="str">
        <x:v>NO</x:v>
      </x:c>
      <x:c r="S255" s="10" t="str">
        <x:v>Cricbuzz scorecard checked 2026-06-21 02:45 AEST</x:v>
      </x:c>
      <x:c r="T255" s="10" t="str">
        <x:f>IF(IFERROR(ISNUMBER(SEARCH("http",S255)),FALSE),"YES","NO")</x:f>
        <x:v>NO</x:v>
      </x:c>
      <x:c r="U255" s="10" t="str">
        <x:v>YES</x:v>
      </x:c>
      <x:c r="V255" s="10" t="str">
        <x:v>NO</x:v>
      </x:c>
      <x:c r="W255" s="10" t="str">
        <x:v>LEGACY_UNVERIFIED_SNAPSHOT: no immutable cutoff/model/source packet</x:v>
      </x:c>
      <x:c r="X255" s="10" t="str">
        <x:v>potential_post_event_input_text; exact_complement_selection</x:v>
      </x:c>
    </x:row>
    <x:row r="256">
      <x:c r="A256" s="9" t="n">
        <x:v>252</x:v>
      </x:c>
      <x:c r="B256" s="9" t="str">
        <x:v>CRIC-WT20WC-20260620-PAKW-BANW</x:v>
      </x:c>
      <x:c r="C256" s="25" t="str">
        <x:v>2026-06-20</x:v>
      </x:c>
      <x:c r="D256" s="9" t="str">
        <x:v>Cricket</x:v>
      </x:c>
      <x:c r="E256" s="9" t="str">
        <x:v>Cricket/WT20I</x:v>
      </x:c>
      <x:c r="F256" s="10" t="str">
        <x:v>Pakistan Women vs Bangladesh Women</x:v>
      </x:c>
      <x:c r="G256" s="10" t="str">
        <x:v>ICC Women's T20 World Cup 2026 Group A</x:v>
      </x:c>
      <x:c r="H256" s="10" t="str">
        <x:v>Bangladesh innings full total 133.5 and powerplay total 38.5</x:v>
      </x:c>
      <x:c r="I256" s="9" t="n">
        <x:v>2</x:v>
      </x:c>
      <x:c r="J256" s="10" t="str">
        <x:v>Bangladesh 1st innings 6 overs Under 38.5 runs</x:v>
      </x:c>
      <x:c r="K256" s="9" t="str">
        <x:v>Under 38.5</x:v>
      </x:c>
      <x:c r="L256" s="23" t="n">
        <x:v>0.52</x:v>
      </x:c>
      <x:c r="M256" s="9" t="str">
        <x:v>W</x:v>
      </x:c>
      <x:c r="N256" s="9" t="n">
        <x:f>IF(M256="W",1,IF(M256="L",0,""))</x:f>
        <x:v>1</x:v>
      </x:c>
      <x:c r="O256" s="24" t="n">
        <x:f>IF(OR(M256="W",M256="L"),(L256-N256)^2,"")</x:f>
        <x:v>0.2304</x:v>
      </x:c>
      <x:c r="P256" s="9" t="str">
        <x:v>YES</x:v>
      </x:c>
      <x:c r="Q256" s="9" t="str">
        <x:v>50-59</x:v>
      </x:c>
      <x:c r="R256" s="9" t="str">
        <x:v>NO</x:v>
      </x:c>
      <x:c r="S256" s="10" t="str">
        <x:v>Cricbuzz scorecard checked 2026-06-21 02:45 AEST</x:v>
      </x:c>
      <x:c r="T256" s="10" t="str">
        <x:f>IF(IFERROR(ISNUMBER(SEARCH("http",S256)),FALSE),"YES","NO")</x:f>
        <x:v>NO</x:v>
      </x:c>
      <x:c r="U256" s="10" t="str">
        <x:v>YES</x:v>
      </x:c>
      <x:c r="V256" s="10" t="str">
        <x:v>NO</x:v>
      </x:c>
      <x:c r="W256" s="10" t="str">
        <x:v>LEGACY_UNVERIFIED_SNAPSHOT: no immutable cutoff/model/source packet</x:v>
      </x:c>
      <x:c r="X256" s="10" t="str">
        <x:v>potential_post_event_input_text; exact_complement_selection</x:v>
      </x:c>
    </x:row>
    <x:row r="257">
      <x:c r="A257" s="9" t="n">
        <x:v>253</x:v>
      </x:c>
      <x:c r="B257" s="9" t="str">
        <x:v>CRIC-WT20WC-20260620-PAKW-BANW</x:v>
      </x:c>
      <x:c r="C257" s="25" t="str">
        <x:v>2026-06-20</x:v>
      </x:c>
      <x:c r="D257" s="9" t="str">
        <x:v>Cricket</x:v>
      </x:c>
      <x:c r="E257" s="9" t="str">
        <x:v>Cricket/WT20I</x:v>
      </x:c>
      <x:c r="F257" s="10" t="str">
        <x:v>Pakistan Women vs Bangladesh Women</x:v>
      </x:c>
      <x:c r="G257" s="10" t="str">
        <x:v>ICC Women's T20 World Cup 2026 Group A</x:v>
      </x:c>
      <x:c r="H257" s="10" t="str">
        <x:v>Bangladesh innings full total 133.5 and powerplay total 38.5</x:v>
      </x:c>
      <x:c r="I257" s="9" t="n">
        <x:v>3</x:v>
      </x:c>
      <x:c r="J257" s="10" t="str">
        <x:v>Bangladesh 1st innings 6 overs Over 38.5 runs</x:v>
      </x:c>
      <x:c r="K257" s="9" t="str">
        <x:v>Over 38.5</x:v>
      </x:c>
      <x:c r="L257" s="23" t="n">
        <x:v>0.48</x:v>
      </x:c>
      <x:c r="M257" s="9" t="str">
        <x:v>L</x:v>
      </x:c>
      <x:c r="N257" s="9" t="n">
        <x:f>IF(M257="W",1,IF(M257="L",0,""))</x:f>
        <x:v>0</x:v>
      </x:c>
      <x:c r="O257" s="24" t="n">
        <x:f>IF(OR(M257="W",M257="L"),(L257-N257)^2,"")</x:f>
        <x:v>0.2304</x:v>
      </x:c>
      <x:c r="P257" s="9" t="str">
        <x:v>YES</x:v>
      </x:c>
      <x:c r="Q257" s="9" t="str">
        <x:v>40-49</x:v>
      </x:c>
      <x:c r="R257" s="9" t="str">
        <x:v>NO</x:v>
      </x:c>
      <x:c r="S257" s="10" t="str">
        <x:v>Cricbuzz scorecard checked 2026-06-21 02:45 AEST</x:v>
      </x:c>
      <x:c r="T257" s="10" t="str">
        <x:f>IF(IFERROR(ISNUMBER(SEARCH("http",S257)),FALSE),"YES","NO")</x:f>
        <x:v>NO</x:v>
      </x:c>
      <x:c r="U257" s="10" t="str">
        <x:v>YES</x:v>
      </x:c>
      <x:c r="V257" s="10" t="str">
        <x:v>NO</x:v>
      </x:c>
      <x:c r="W257" s="10" t="str">
        <x:v>LEGACY_UNVERIFIED_SNAPSHOT: no immutable cutoff/model/source packet</x:v>
      </x:c>
      <x:c r="X257" s="10" t="str">
        <x:v>potential_post_event_input_text; exact_complement_selection</x:v>
      </x:c>
    </x:row>
    <x:row r="258">
      <x:c r="A258" s="9" t="n">
        <x:v>254</x:v>
      </x:c>
      <x:c r="B258" s="9" t="str">
        <x:v>CRIC-WT20WC-20260620-PAKW-BANW</x:v>
      </x:c>
      <x:c r="C258" s="25" t="str">
        <x:v>2026-06-20</x:v>
      </x:c>
      <x:c r="D258" s="9" t="str">
        <x:v>Cricket</x:v>
      </x:c>
      <x:c r="E258" s="9" t="str">
        <x:v>Cricket/WT20I</x:v>
      </x:c>
      <x:c r="F258" s="10" t="str">
        <x:v>Pakistan Women vs Bangladesh Women</x:v>
      </x:c>
      <x:c r="G258" s="10" t="str">
        <x:v>ICC Women's T20 World Cup 2026 Group A</x:v>
      </x:c>
      <x:c r="H258" s="10" t="str">
        <x:v>Bangladesh innings full total 133.5 and powerplay total 38.5</x:v>
      </x:c>
      <x:c r="I258" s="9" t="n">
        <x:v>4</x:v>
      </x:c>
      <x:c r="J258" s="10" t="str">
        <x:v>Bangladesh 1st innings 20 overs Over 133.5 runs</x:v>
      </x:c>
      <x:c r="K258" s="9" t="str">
        <x:v>Over 133.5</x:v>
      </x:c>
      <x:c r="L258" s="23" t="n">
        <x:v>0.44</x:v>
      </x:c>
      <x:c r="M258" s="9" t="str">
        <x:v>L</x:v>
      </x:c>
      <x:c r="N258" s="9" t="n">
        <x:f>IF(M258="W",1,IF(M258="L",0,""))</x:f>
        <x:v>0</x:v>
      </x:c>
      <x:c r="O258" s="24" t="n">
        <x:f>IF(OR(M258="W",M258="L"),(L258-N258)^2,"")</x:f>
        <x:v>0.1936</x:v>
      </x:c>
      <x:c r="P258" s="9" t="str">
        <x:v>YES</x:v>
      </x:c>
      <x:c r="Q258" s="9" t="str">
        <x:v>40-49</x:v>
      </x:c>
      <x:c r="R258" s="9" t="str">
        <x:v>NO</x:v>
      </x:c>
      <x:c r="S258" s="10" t="str">
        <x:v>Cricbuzz scorecard checked 2026-06-21 02:45 AEST</x:v>
      </x:c>
      <x:c r="T258" s="10" t="str">
        <x:f>IF(IFERROR(ISNUMBER(SEARCH("http",S258)),FALSE),"YES","NO")</x:f>
        <x:v>NO</x:v>
      </x:c>
      <x:c r="U258" s="10" t="str">
        <x:v>YES</x:v>
      </x:c>
      <x:c r="V258" s="10" t="str">
        <x:v>NO</x:v>
      </x:c>
      <x:c r="W258" s="10" t="str">
        <x:v>LEGACY_UNVERIFIED_SNAPSHOT: no immutable cutoff/model/source packet</x:v>
      </x:c>
      <x:c r="X258" s="10" t="str">
        <x:v>potential_post_event_input_text; exact_complement_selection</x:v>
      </x:c>
    </x:row>
    <x:row r="259">
      <x:c r="A259" s="9" t="n">
        <x:v>255</x:v>
      </x:c>
      <x:c r="B259" s="9" t="str">
        <x:v>AFL-20260620-GWS-CARL</x:v>
      </x:c>
      <x:c r="C259" s="25" t="str">
        <x:v>2026-06-20</x:v>
      </x:c>
      <x:c r="D259" s="9" t="str">
        <x:v>Australian football</x:v>
      </x:c>
      <x:c r="E259" s="9" t="str">
        <x:v>AFL</x:v>
      </x:c>
      <x:c r="F259" s="10" t="str">
        <x:v>GWS Giants vs Carlton</x:v>
      </x:c>
      <x:c r="G259" s="10" t="str">
        <x:v>AFL Round 15</x:v>
      </x:c>
      <x:c r="H259" s="10" t="str">
        <x:v>Giants -21.5, Carlton +21.5, total 184.5</x:v>
      </x:c>
      <x:c r="I259" s="9" t="n">
        <x:v>1</x:v>
      </x:c>
      <x:c r="J259" s="10" t="str">
        <x:v>Carlton +21.5</x:v>
      </x:c>
      <x:c r="K259" s="9" t="str">
        <x:v>+21.5</x:v>
      </x:c>
      <x:c r="L259" s="23" t="n">
        <x:v>0.6</x:v>
      </x:c>
      <x:c r="M259" s="9" t="str">
        <x:v>W</x:v>
      </x:c>
      <x:c r="N259" s="9" t="n">
        <x:f>IF(M259="W",1,IF(M259="L",0,""))</x:f>
        <x:v>1</x:v>
      </x:c>
      <x:c r="O259" s="24" t="n">
        <x:f>IF(OR(M259="W",M259="L"),(L259-N259)^2,"")</x:f>
        <x:v>0.16000000000000003</x:v>
      </x:c>
      <x:c r="P259" s="9" t="str">
        <x:v>YES</x:v>
      </x:c>
      <x:c r="Q259" s="9" t="str">
        <x:v>60-69</x:v>
      </x:c>
      <x:c r="R259" s="9" t="str">
        <x:v>NO</x:v>
      </x:c>
      <x:c r="S259" s="10" t="str">
        <x:v>AFL/ESPN/Fox final checked 2026-06-21</x:v>
      </x:c>
      <x:c r="T259" s="10" t="str">
        <x:f>IF(IFERROR(ISNUMBER(SEARCH("http",S259)),FALSE),"YES","NO")</x:f>
        <x:v>NO</x:v>
      </x:c>
      <x:c r="U259" s="10" t="str">
        <x:v>YES</x:v>
      </x:c>
      <x:c r="V259" s="10" t="str">
        <x:v>NO</x:v>
      </x:c>
      <x:c r="W259" s="10" t="str">
        <x:v>LEGACY_UNVERIFIED_SNAPSHOT: no immutable cutoff/model/source packet</x:v>
      </x:c>
      <x:c r="X259" s="10" t="str">
        <x:v>potential_post_event_input_text; exact_complement_selection</x:v>
      </x:c>
    </x:row>
    <x:row r="260">
      <x:c r="A260" s="9" t="n">
        <x:v>256</x:v>
      </x:c>
      <x:c r="B260" s="9" t="str">
        <x:v>AFL-20260620-GWS-CARL</x:v>
      </x:c>
      <x:c r="C260" s="25" t="str">
        <x:v>2026-06-20</x:v>
      </x:c>
      <x:c r="D260" s="9" t="str">
        <x:v>Australian football</x:v>
      </x:c>
      <x:c r="E260" s="9" t="str">
        <x:v>AFL</x:v>
      </x:c>
      <x:c r="F260" s="10" t="str">
        <x:v>GWS Giants vs Carlton</x:v>
      </x:c>
      <x:c r="G260" s="10" t="str">
        <x:v>AFL Round 15</x:v>
      </x:c>
      <x:c r="H260" s="10" t="str">
        <x:v>Giants -21.5, Carlton +21.5, total 184.5</x:v>
      </x:c>
      <x:c r="I260" s="9" t="n">
        <x:v>2</x:v>
      </x:c>
      <x:c r="J260" s="10" t="str">
        <x:v>Combined Total Under 184.5</x:v>
      </x:c>
      <x:c r="K260" s="9" t="str">
        <x:v>Under 184.5</x:v>
      </x:c>
      <x:c r="L260" s="23" t="n">
        <x:v>0.55</x:v>
      </x:c>
      <x:c r="M260" s="9" t="str">
        <x:v>W</x:v>
      </x:c>
      <x:c r="N260" s="9" t="n">
        <x:f>IF(M260="W",1,IF(M260="L",0,""))</x:f>
        <x:v>1</x:v>
      </x:c>
      <x:c r="O260" s="24" t="n">
        <x:f>IF(OR(M260="W",M260="L"),(L260-N260)^2,"")</x:f>
        <x:v>0.20249999999999996</x:v>
      </x:c>
      <x:c r="P260" s="9" t="str">
        <x:v>YES</x:v>
      </x:c>
      <x:c r="Q260" s="9" t="str">
        <x:v>50-59</x:v>
      </x:c>
      <x:c r="R260" s="9" t="str">
        <x:v>NO</x:v>
      </x:c>
      <x:c r="S260" s="10" t="str">
        <x:v>AFL/ESPN/Fox final checked 2026-06-21</x:v>
      </x:c>
      <x:c r="T260" s="10" t="str">
        <x:f>IF(IFERROR(ISNUMBER(SEARCH("http",S260)),FALSE),"YES","NO")</x:f>
        <x:v>NO</x:v>
      </x:c>
      <x:c r="U260" s="10" t="str">
        <x:v>YES</x:v>
      </x:c>
      <x:c r="V260" s="10" t="str">
        <x:v>NO</x:v>
      </x:c>
      <x:c r="W260" s="10" t="str">
        <x:v>LEGACY_UNVERIFIED_SNAPSHOT: no immutable cutoff/model/source packet</x:v>
      </x:c>
      <x:c r="X260" s="10" t="str">
        <x:v>potential_post_event_input_text; exact_complement_selection</x:v>
      </x:c>
    </x:row>
    <x:row r="261">
      <x:c r="A261" s="9" t="n">
        <x:v>257</x:v>
      </x:c>
      <x:c r="B261" s="9" t="str">
        <x:v>AFL-20260620-GWS-CARL</x:v>
      </x:c>
      <x:c r="C261" s="25" t="str">
        <x:v>2026-06-20</x:v>
      </x:c>
      <x:c r="D261" s="9" t="str">
        <x:v>Australian football</x:v>
      </x:c>
      <x:c r="E261" s="9" t="str">
        <x:v>AFL</x:v>
      </x:c>
      <x:c r="F261" s="10" t="str">
        <x:v>GWS Giants vs Carlton</x:v>
      </x:c>
      <x:c r="G261" s="10" t="str">
        <x:v>AFL Round 15</x:v>
      </x:c>
      <x:c r="H261" s="10" t="str">
        <x:v>Giants -21.5, Carlton +21.5, total 184.5</x:v>
      </x:c>
      <x:c r="I261" s="9" t="n">
        <x:v>3</x:v>
      </x:c>
      <x:c r="J261" s="10" t="str">
        <x:v>Combined Total Over 184.5</x:v>
      </x:c>
      <x:c r="K261" s="9" t="str">
        <x:v>Over 184.5</x:v>
      </x:c>
      <x:c r="L261" s="23" t="n">
        <x:v>0.45</x:v>
      </x:c>
      <x:c r="M261" s="9" t="str">
        <x:v>L</x:v>
      </x:c>
      <x:c r="N261" s="9" t="n">
        <x:f>IF(M261="W",1,IF(M261="L",0,""))</x:f>
        <x:v>0</x:v>
      </x:c>
      <x:c r="O261" s="24" t="n">
        <x:f>IF(OR(M261="W",M261="L"),(L261-N261)^2,"")</x:f>
        <x:v>0.2025</x:v>
      </x:c>
      <x:c r="P261" s="9" t="str">
        <x:v>YES</x:v>
      </x:c>
      <x:c r="Q261" s="9" t="str">
        <x:v>40-49</x:v>
      </x:c>
      <x:c r="R261" s="9" t="str">
        <x:v>NO</x:v>
      </x:c>
      <x:c r="S261" s="10" t="str">
        <x:v>AFL/ESPN/Fox final checked 2026-06-21</x:v>
      </x:c>
      <x:c r="T261" s="10" t="str">
        <x:f>IF(IFERROR(ISNUMBER(SEARCH("http",S261)),FALSE),"YES","NO")</x:f>
        <x:v>NO</x:v>
      </x:c>
      <x:c r="U261" s="10" t="str">
        <x:v>YES</x:v>
      </x:c>
      <x:c r="V261" s="10" t="str">
        <x:v>NO</x:v>
      </x:c>
      <x:c r="W261" s="10" t="str">
        <x:v>LEGACY_UNVERIFIED_SNAPSHOT: no immutable cutoff/model/source packet</x:v>
      </x:c>
      <x:c r="X261" s="10" t="str">
        <x:v>potential_post_event_input_text; exact_complement_selection</x:v>
      </x:c>
    </x:row>
    <x:row r="262">
      <x:c r="A262" s="9" t="n">
        <x:v>258</x:v>
      </x:c>
      <x:c r="B262" s="9" t="str">
        <x:v>AFL-20260620-GWS-CARL</x:v>
      </x:c>
      <x:c r="C262" s="25" t="str">
        <x:v>2026-06-20</x:v>
      </x:c>
      <x:c r="D262" s="9" t="str">
        <x:v>Australian football</x:v>
      </x:c>
      <x:c r="E262" s="9" t="str">
        <x:v>AFL</x:v>
      </x:c>
      <x:c r="F262" s="10" t="str">
        <x:v>GWS Giants vs Carlton</x:v>
      </x:c>
      <x:c r="G262" s="10" t="str">
        <x:v>AFL Round 15</x:v>
      </x:c>
      <x:c r="H262" s="10" t="str">
        <x:v>Giants -21.5, Carlton +21.5, total 184.5</x:v>
      </x:c>
      <x:c r="I262" s="9" t="n">
        <x:v>4</x:v>
      </x:c>
      <x:c r="J262" s="10" t="str">
        <x:v>Giants -21.5</x:v>
      </x:c>
      <x:c r="K262" s="9" t="str">
        <x:v>-21.5</x:v>
      </x:c>
      <x:c r="L262" s="23" t="n">
        <x:v>0.4</x:v>
      </x:c>
      <x:c r="M262" s="9" t="str">
        <x:v>L</x:v>
      </x:c>
      <x:c r="N262" s="9" t="n">
        <x:f>IF(M262="W",1,IF(M262="L",0,""))</x:f>
        <x:v>0</x:v>
      </x:c>
      <x:c r="O262" s="24" t="n">
        <x:f>IF(OR(M262="W",M262="L"),(L262-N262)^2,"")</x:f>
        <x:v>0.16000000000000003</x:v>
      </x:c>
      <x:c r="P262" s="9" t="str">
        <x:v>YES</x:v>
      </x:c>
      <x:c r="Q262" s="9" t="str">
        <x:v>40-49</x:v>
      </x:c>
      <x:c r="R262" s="9" t="str">
        <x:v>NO</x:v>
      </x:c>
      <x:c r="S262" s="10" t="str">
        <x:v>AFL/ESPN/Fox final checked 2026-06-21</x:v>
      </x:c>
      <x:c r="T262" s="10" t="str">
        <x:f>IF(IFERROR(ISNUMBER(SEARCH("http",S262)),FALSE),"YES","NO")</x:f>
        <x:v>NO</x:v>
      </x:c>
      <x:c r="U262" s="10" t="str">
        <x:v>YES</x:v>
      </x:c>
      <x:c r="V262" s="10" t="str">
        <x:v>NO</x:v>
      </x:c>
      <x:c r="W262" s="10" t="str">
        <x:v>LEGACY_UNVERIFIED_SNAPSHOT: no immutable cutoff/model/source packet</x:v>
      </x:c>
      <x:c r="X262" s="10" t="str">
        <x:v>projection_error; potential_post_event_input_text; exact_complement_selection</x:v>
      </x:c>
    </x:row>
    <x:row r="263">
      <x:c r="A263" s="9" t="n">
        <x:v>259</x:v>
      </x:c>
      <x:c r="B263" s="9" t="str">
        <x:v>BKB-NZNBL-20260620-OTA-TAR</x:v>
      </x:c>
      <x:c r="C263" s="25" t="str">
        <x:v>2026-06-20</x:v>
      </x:c>
      <x:c r="D263" s="9" t="str">
        <x:v>Basketball</x:v>
      </x:c>
      <x:c r="E263" s="9" t="str">
        <x:v>Basketball/NZNBL</x:v>
      </x:c>
      <x:c r="F263" s="10" t="str">
        <x:v>Otago Nuggets vs Taranaki Airs</x:v>
      </x:c>
      <x:c r="G263" s="10" t="str">
        <x:v>New Zealand NBL regular season</x:v>
      </x:c>
      <x:c r="H263" s="10" t="str">
        <x:v>Nuggets -4.5, Airs +4.5, total 173.5, 1H 86.5</x:v>
      </x:c>
      <x:c r="I263" s="9" t="n">
        <x:v>1</x:v>
      </x:c>
      <x:c r="J263" s="10" t="str">
        <x:v>Taranaki Airs +4.5</x:v>
      </x:c>
      <x:c r="K263" s="9" t="str">
        <x:v>+4.5</x:v>
      </x:c>
      <x:c r="L263" s="23" t="n">
        <x:v>0.61</x:v>
      </x:c>
      <x:c r="M263" s="9" t="str">
        <x:v>W</x:v>
      </x:c>
      <x:c r="N263" s="9" t="n">
        <x:f>IF(M263="W",1,IF(M263="L",0,""))</x:f>
        <x:v>1</x:v>
      </x:c>
      <x:c r="O263" s="24" t="n">
        <x:f>IF(OR(M263="W",M263="L"),(L263-N263)^2,"")</x:f>
        <x:v>0.1521</x:v>
      </x:c>
      <x:c r="P263" s="9" t="str">
        <x:v>YES</x:v>
      </x:c>
      <x:c r="Q263" s="9" t="str">
        <x:v>60-69</x:v>
      </x:c>
      <x:c r="R263" s="9" t="str">
        <x:v>NO</x:v>
      </x:c>
      <x:c r="S263" s="10" t="str">
        <x:v>Sofascore/NZNBL final checked 2026-06-21</x:v>
      </x:c>
      <x:c r="T263" s="10" t="str">
        <x:f>IF(IFERROR(ISNUMBER(SEARCH("http",S263)),FALSE),"YES","NO")</x:f>
        <x:v>NO</x:v>
      </x:c>
      <x:c r="U263" s="10" t="str">
        <x:v>YES</x:v>
      </x:c>
      <x:c r="V263" s="10" t="str">
        <x:v>NO</x:v>
      </x:c>
      <x:c r="W263" s="10" t="str">
        <x:v>LEGACY_UNVERIFIED_SNAPSHOT: no immutable cutoff/model/source packet</x:v>
      </x:c>
      <x:c r="X263" s="10" t="str">
        <x:v>potential_post_event_input_text; exact_complement_selection</x:v>
      </x:c>
    </x:row>
    <x:row r="264">
      <x:c r="A264" s="9" t="n">
        <x:v>260</x:v>
      </x:c>
      <x:c r="B264" s="9" t="str">
        <x:v>BKB-NZNBL-20260620-OTA-TAR</x:v>
      </x:c>
      <x:c r="C264" s="25" t="str">
        <x:v>2026-06-20</x:v>
      </x:c>
      <x:c r="D264" s="9" t="str">
        <x:v>Basketball</x:v>
      </x:c>
      <x:c r="E264" s="9" t="str">
        <x:v>Basketball/NZNBL</x:v>
      </x:c>
      <x:c r="F264" s="10" t="str">
        <x:v>Otago Nuggets vs Taranaki Airs</x:v>
      </x:c>
      <x:c r="G264" s="10" t="str">
        <x:v>New Zealand NBL regular season</x:v>
      </x:c>
      <x:c r="H264" s="10" t="str">
        <x:v>Nuggets -4.5, Airs +4.5, total 173.5, 1H 86.5</x:v>
      </x:c>
      <x:c r="I264" s="9" t="n">
        <x:v>2</x:v>
      </x:c>
      <x:c r="J264" s="10" t="str">
        <x:v>Combined 1st Half Total Under 86.5</x:v>
      </x:c>
      <x:c r="K264" s="9" t="str">
        <x:v>Under 86.5</x:v>
      </x:c>
      <x:c r="L264" s="23" t="n">
        <x:v>0.58</x:v>
      </x:c>
      <x:c r="M264" s="9" t="str">
        <x:v>L</x:v>
      </x:c>
      <x:c r="N264" s="9" t="n">
        <x:f>IF(M264="W",1,IF(M264="L",0,""))</x:f>
        <x:v>0</x:v>
      </x:c>
      <x:c r="O264" s="24" t="n">
        <x:f>IF(OR(M264="W",M264="L"),(L264-N264)^2,"")</x:f>
        <x:v>0.3364</x:v>
      </x:c>
      <x:c r="P264" s="9" t="str">
        <x:v>NO</x:v>
      </x:c>
      <x:c r="Q264" s="9" t="str">
        <x:v>50-59</x:v>
      </x:c>
      <x:c r="R264" s="9" t="str">
        <x:v>NO</x:v>
      </x:c>
      <x:c r="S264" s="10" t="str">
        <x:v>Sofascore/NZNBL final checked 2026-06-21</x:v>
      </x:c>
      <x:c r="T264" s="10" t="str">
        <x:f>IF(IFERROR(ISNUMBER(SEARCH("http",S264)),FALSE),"YES","NO")</x:f>
        <x:v>NO</x:v>
      </x:c>
      <x:c r="U264" s="10" t="str">
        <x:v>YES</x:v>
      </x:c>
      <x:c r="V264" s="10" t="str">
        <x:v>NO</x:v>
      </x:c>
      <x:c r="W264" s="10" t="str">
        <x:v>LEGACY_UNVERIFIED_SNAPSHOT: no immutable cutoff/model/source packet</x:v>
      </x:c>
      <x:c r="X264" s="10" t="str">
        <x:v>projection_error; rank_error; potential_post_event_input_text</x:v>
      </x:c>
    </x:row>
    <x:row r="265">
      <x:c r="A265" s="9" t="n">
        <x:v>261</x:v>
      </x:c>
      <x:c r="B265" s="9" t="str">
        <x:v>BKB-NZNBL-20260620-OTA-TAR</x:v>
      </x:c>
      <x:c r="C265" s="25" t="str">
        <x:v>2026-06-20</x:v>
      </x:c>
      <x:c r="D265" s="9" t="str">
        <x:v>Basketball</x:v>
      </x:c>
      <x:c r="E265" s="9" t="str">
        <x:v>Basketball/NZNBL</x:v>
      </x:c>
      <x:c r="F265" s="10" t="str">
        <x:v>Otago Nuggets vs Taranaki Airs</x:v>
      </x:c>
      <x:c r="G265" s="10" t="str">
        <x:v>New Zealand NBL regular season</x:v>
      </x:c>
      <x:c r="H265" s="10" t="str">
        <x:v>Nuggets -4.5, Airs +4.5, total 173.5, 1H 86.5</x:v>
      </x:c>
      <x:c r="I265" s="9" t="n">
        <x:v>3</x:v>
      </x:c>
      <x:c r="J265" s="10" t="str">
        <x:v>Combined Total Under 173.5</x:v>
      </x:c>
      <x:c r="K265" s="9" t="str">
        <x:v>Under 173.5</x:v>
      </x:c>
      <x:c r="L265" s="23" t="n">
        <x:v>0.54</x:v>
      </x:c>
      <x:c r="M265" s="9" t="str">
        <x:v>L</x:v>
      </x:c>
      <x:c r="N265" s="9" t="n">
        <x:f>IF(M265="W",1,IF(M265="L",0,""))</x:f>
        <x:v>0</x:v>
      </x:c>
      <x:c r="O265" s="24" t="n">
        <x:f>IF(OR(M265="W",M265="L"),(L265-N265)^2,"")</x:f>
        <x:v>0.2916</x:v>
      </x:c>
      <x:c r="P265" s="9" t="str">
        <x:v>NO</x:v>
      </x:c>
      <x:c r="Q265" s="9" t="str">
        <x:v>50-59</x:v>
      </x:c>
      <x:c r="R265" s="9" t="str">
        <x:v>NO</x:v>
      </x:c>
      <x:c r="S265" s="10" t="str">
        <x:v>Sofascore/NZNBL final checked 2026-06-21</x:v>
      </x:c>
      <x:c r="T265" s="10" t="str">
        <x:f>IF(IFERROR(ISNUMBER(SEARCH("http",S265)),FALSE),"YES","NO")</x:f>
        <x:v>NO</x:v>
      </x:c>
      <x:c r="U265" s="10" t="str">
        <x:v>YES</x:v>
      </x:c>
      <x:c r="V265" s="10" t="str">
        <x:v>NO</x:v>
      </x:c>
      <x:c r="W265" s="10" t="str">
        <x:v>LEGACY_UNVERIFIED_SNAPSHOT: no immutable cutoff/model/source packet</x:v>
      </x:c>
      <x:c r="X265" s="10" t="str">
        <x:v>projection_error; rank_error; potential_post_event_input_text</x:v>
      </x:c>
    </x:row>
    <x:row r="266">
      <x:c r="A266" s="9" t="n">
        <x:v>262</x:v>
      </x:c>
      <x:c r="B266" s="9" t="str">
        <x:v>BKB-NZNBL-20260620-OTA-TAR</x:v>
      </x:c>
      <x:c r="C266" s="25" t="str">
        <x:v>2026-06-20</x:v>
      </x:c>
      <x:c r="D266" s="9" t="str">
        <x:v>Basketball</x:v>
      </x:c>
      <x:c r="E266" s="9" t="str">
        <x:v>Basketball/NZNBL</x:v>
      </x:c>
      <x:c r="F266" s="10" t="str">
        <x:v>Otago Nuggets vs Taranaki Airs</x:v>
      </x:c>
      <x:c r="G266" s="10" t="str">
        <x:v>New Zealand NBL regular season</x:v>
      </x:c>
      <x:c r="H266" s="10" t="str">
        <x:v>Nuggets -4.5, Airs +4.5, total 173.5, 1H 86.5</x:v>
      </x:c>
      <x:c r="I266" s="9" t="n">
        <x:v>4</x:v>
      </x:c>
      <x:c r="J266" s="10" t="str">
        <x:v>Otago Nuggets -4.5</x:v>
      </x:c>
      <x:c r="K266" s="9" t="str">
        <x:v>-4.5</x:v>
      </x:c>
      <x:c r="L266" s="23" t="n">
        <x:v>0.39</x:v>
      </x:c>
      <x:c r="M266" s="9" t="str">
        <x:v>L</x:v>
      </x:c>
      <x:c r="N266" s="9" t="n">
        <x:f>IF(M266="W",1,IF(M266="L",0,""))</x:f>
        <x:v>0</x:v>
      </x:c>
      <x:c r="O266" s="24" t="n">
        <x:f>IF(OR(M266="W",M266="L"),(L266-N266)^2,"")</x:f>
        <x:v>0.1521</x:v>
      </x:c>
      <x:c r="P266" s="9" t="str">
        <x:v>YES</x:v>
      </x:c>
      <x:c r="Q266" s="9" t="str">
        <x:v>30-39</x:v>
      </x:c>
      <x:c r="R266" s="9" t="str">
        <x:v>NO</x:v>
      </x:c>
      <x:c r="S266" s="10" t="str">
        <x:v>Sofascore/NZNBL final checked 2026-06-21</x:v>
      </x:c>
      <x:c r="T266" s="10" t="str">
        <x:f>IF(IFERROR(ISNUMBER(SEARCH("http",S266)),FALSE),"YES","NO")</x:f>
        <x:v>NO</x:v>
      </x:c>
      <x:c r="U266" s="10" t="str">
        <x:v>YES</x:v>
      </x:c>
      <x:c r="V266" s="10" t="str">
        <x:v>NO</x:v>
      </x:c>
      <x:c r="W266" s="10" t="str">
        <x:v>LEGACY_UNVERIFIED_SNAPSHOT: no immutable cutoff/model/source packet</x:v>
      </x:c>
      <x:c r="X266" s="10" t="str">
        <x:v>potential_post_event_input_text; exact_complement_selection</x:v>
      </x:c>
    </x:row>
    <x:row r="267">
      <x:c r="A267" s="9" t="n">
        <x:v>263</x:v>
      </x:c>
      <x:c r="B267" s="9" t="str">
        <x:v>CRIC-ODI-20260620-AFG-IND</x:v>
      </x:c>
      <x:c r="C267" s="25" t="str">
        <x:v>2026-06-20</x:v>
      </x:c>
      <x:c r="D267" s="9" t="str">
        <x:v>Cricket</x:v>
      </x:c>
      <x:c r="E267" s="9" t="str">
        <x:v>Cricket/ODI</x:v>
      </x:c>
      <x:c r="F267" s="10" t="str">
        <x:v>Afghanistan vs India</x:v>
      </x:c>
      <x:c r="G267" s="10" t="str">
        <x:v>Afghanistan tour of India 2026, 3rd ODI</x:v>
      </x:c>
      <x:c r="H267" s="10" t="str">
        <x:v>Afghanistan first 5 overs 25.5 and full innings 276.5</x:v>
      </x:c>
      <x:c r="I267" s="9" t="n">
        <x:v>1</x:v>
      </x:c>
      <x:c r="J267" s="10" t="str">
        <x:v>Afghanistan first 5 overs Over 25.5</x:v>
      </x:c>
      <x:c r="K267" s="9" t="str">
        <x:v>Over 25.5</x:v>
      </x:c>
      <x:c r="L267" s="23" t="n">
        <x:v>0.59</x:v>
      </x:c>
      <x:c r="M267" s="9" t="str">
        <x:v>U</x:v>
      </x:c>
      <x:c r="N267" s="9" t="str">
        <x:f>IF(M267="W",1,IF(M267="L",0,""))</x:f>
      </x:c>
      <x:c r="O267" s="24" t="str">
        <x:f>IF(OR(M267="W",M267="L"),(L267-N267)^2,"")</x:f>
      </x:c>
      <x:c r="P267" s="9" t="str">
        <x:v>YES</x:v>
      </x:c>
      <x:c r="Q267" s="9" t="str">
        <x:v>50-59</x:v>
      </x:c>
      <x:c r="R267" s="9" t="str">
        <x:v>NO</x:v>
      </x:c>
      <x:c r="S267" s="10" t="str">
        <x:v>Cricbuzz/ESPN scorecard checked 2026-06-21</x:v>
      </x:c>
      <x:c r="T267" s="10" t="str">
        <x:f>IF(IFERROR(ISNUMBER(SEARCH("http",S267)),FALSE),"YES","NO")</x:f>
        <x:v>NO</x:v>
      </x:c>
      <x:c r="U267" s="10" t="str">
        <x:v>YES</x:v>
      </x:c>
      <x:c r="V267" s="10" t="str">
        <x:v>NO</x:v>
      </x:c>
      <x:c r="W267" s="10" t="str">
        <x:v>LEGACY_UNVERIFIED_SNAPSHOT: no immutable cutoff/model/source packet</x:v>
      </x:c>
      <x:c r="X267" s="10" t="str">
        <x:v>potential_post_event_input_text; exact_complement_selection</x:v>
      </x:c>
    </x:row>
    <x:row r="268">
      <x:c r="A268" s="9" t="n">
        <x:v>264</x:v>
      </x:c>
      <x:c r="B268" s="9" t="str">
        <x:v>CRIC-ODI-20260620-AFG-IND</x:v>
      </x:c>
      <x:c r="C268" s="25" t="str">
        <x:v>2026-06-20</x:v>
      </x:c>
      <x:c r="D268" s="9" t="str">
        <x:v>Cricket</x:v>
      </x:c>
      <x:c r="E268" s="9" t="str">
        <x:v>Cricket/ODI</x:v>
      </x:c>
      <x:c r="F268" s="10" t="str">
        <x:v>Afghanistan vs India</x:v>
      </x:c>
      <x:c r="G268" s="10" t="str">
        <x:v>Afghanistan tour of India 2026, 3rd ODI</x:v>
      </x:c>
      <x:c r="H268" s="10" t="str">
        <x:v>Afghanistan first 5 overs 25.5 and full innings 276.5</x:v>
      </x:c>
      <x:c r="I268" s="9" t="n">
        <x:v>2</x:v>
      </x:c>
      <x:c r="J268" s="10" t="str">
        <x:v>Afghanistan 50 overs Over 276.5</x:v>
      </x:c>
      <x:c r="K268" s="9" t="str">
        <x:v>Over 276.5</x:v>
      </x:c>
      <x:c r="L268" s="23" t="n">
        <x:v>0.54</x:v>
      </x:c>
      <x:c r="M268" s="9" t="str">
        <x:v>L</x:v>
      </x:c>
      <x:c r="N268" s="9" t="n">
        <x:f>IF(M268="W",1,IF(M268="L",0,""))</x:f>
        <x:v>0</x:v>
      </x:c>
      <x:c r="O268" s="24" t="n">
        <x:f>IF(OR(M268="W",M268="L"),(L268-N268)^2,"")</x:f>
        <x:v>0.2916</x:v>
      </x:c>
      <x:c r="P268" s="9" t="str">
        <x:v>YES</x:v>
      </x:c>
      <x:c r="Q268" s="9" t="str">
        <x:v>50-59</x:v>
      </x:c>
      <x:c r="R268" s="9" t="str">
        <x:v>NO</x:v>
      </x:c>
      <x:c r="S268" s="10" t="str">
        <x:v>Cricbuzz/ESPN scorecard checked 2026-06-21</x:v>
      </x:c>
      <x:c r="T268" s="10" t="str">
        <x:f>IF(IFERROR(ISNUMBER(SEARCH("http",S268)),FALSE),"YES","NO")</x:f>
        <x:v>NO</x:v>
      </x:c>
      <x:c r="U268" s="10" t="str">
        <x:v>YES</x:v>
      </x:c>
      <x:c r="V268" s="10" t="str">
        <x:v>NO</x:v>
      </x:c>
      <x:c r="W268" s="10" t="str">
        <x:v>LEGACY_UNVERIFIED_SNAPSHOT: no immutable cutoff/model/source packet</x:v>
      </x:c>
      <x:c r="X268" s="10" t="str">
        <x:v>projection_error; rank_error; potential_post_event_input_text; exact_complement_selection</x:v>
      </x:c>
    </x:row>
    <x:row r="269">
      <x:c r="A269" s="9" t="n">
        <x:v>265</x:v>
      </x:c>
      <x:c r="B269" s="9" t="str">
        <x:v>CRIC-ODI-20260620-AFG-IND</x:v>
      </x:c>
      <x:c r="C269" s="25" t="str">
        <x:v>2026-06-20</x:v>
      </x:c>
      <x:c r="D269" s="9" t="str">
        <x:v>Cricket</x:v>
      </x:c>
      <x:c r="E269" s="9" t="str">
        <x:v>Cricket/ODI</x:v>
      </x:c>
      <x:c r="F269" s="10" t="str">
        <x:v>Afghanistan vs India</x:v>
      </x:c>
      <x:c r="G269" s="10" t="str">
        <x:v>Afghanistan tour of India 2026, 3rd ODI</x:v>
      </x:c>
      <x:c r="H269" s="10" t="str">
        <x:v>Afghanistan first 5 overs 25.5 and full innings 276.5</x:v>
      </x:c>
      <x:c r="I269" s="9" t="n">
        <x:v>3</x:v>
      </x:c>
      <x:c r="J269" s="10" t="str">
        <x:v>Afghanistan 50 overs Under 276.5</x:v>
      </x:c>
      <x:c r="K269" s="9" t="str">
        <x:v>Under 276.5</x:v>
      </x:c>
      <x:c r="L269" s="23" t="n">
        <x:v>0.46</x:v>
      </x:c>
      <x:c r="M269" s="9" t="str">
        <x:v>W</x:v>
      </x:c>
      <x:c r="N269" s="9" t="n">
        <x:f>IF(M269="W",1,IF(M269="L",0,""))</x:f>
        <x:v>1</x:v>
      </x:c>
      <x:c r="O269" s="24" t="n">
        <x:f>IF(OR(M269="W",M269="L"),(L269-N269)^2,"")</x:f>
        <x:v>0.2916</x:v>
      </x:c>
      <x:c r="P269" s="9" t="str">
        <x:v>YES</x:v>
      </x:c>
      <x:c r="Q269" s="9" t="str">
        <x:v>40-49</x:v>
      </x:c>
      <x:c r="R269" s="9" t="str">
        <x:v>NO</x:v>
      </x:c>
      <x:c r="S269" s="10" t="str">
        <x:v>Cricbuzz/ESPN scorecard checked 2026-06-21</x:v>
      </x:c>
      <x:c r="T269" s="10" t="str">
        <x:f>IF(IFERROR(ISNUMBER(SEARCH("http",S269)),FALSE),"YES","NO")</x:f>
        <x:v>NO</x:v>
      </x:c>
      <x:c r="U269" s="10" t="str">
        <x:v>YES</x:v>
      </x:c>
      <x:c r="V269" s="10" t="str">
        <x:v>NO</x:v>
      </x:c>
      <x:c r="W269" s="10" t="str">
        <x:v>LEGACY_UNVERIFIED_SNAPSHOT: no immutable cutoff/model/source packet</x:v>
      </x:c>
      <x:c r="X269" s="10" t="str">
        <x:v>projection_error; rank_error; potential_post_event_input_text; exact_complement_selection</x:v>
      </x:c>
    </x:row>
    <x:row r="270">
      <x:c r="A270" s="9" t="n">
        <x:v>266</x:v>
      </x:c>
      <x:c r="B270" s="9" t="str">
        <x:v>CRIC-ODI-20260620-AFG-IND</x:v>
      </x:c>
      <x:c r="C270" s="25" t="str">
        <x:v>2026-06-20</x:v>
      </x:c>
      <x:c r="D270" s="9" t="str">
        <x:v>Cricket</x:v>
      </x:c>
      <x:c r="E270" s="9" t="str">
        <x:v>Cricket/ODI</x:v>
      </x:c>
      <x:c r="F270" s="10" t="str">
        <x:v>Afghanistan vs India</x:v>
      </x:c>
      <x:c r="G270" s="10" t="str">
        <x:v>Afghanistan tour of India 2026, 3rd ODI</x:v>
      </x:c>
      <x:c r="H270" s="10" t="str">
        <x:v>Afghanistan first 5 overs 25.5 and full innings 276.5</x:v>
      </x:c>
      <x:c r="I270" s="9" t="n">
        <x:v>4</x:v>
      </x:c>
      <x:c r="J270" s="10" t="str">
        <x:v>Afghanistan first 5 overs Under 25.5</x:v>
      </x:c>
      <x:c r="K270" s="9" t="str">
        <x:v>Under 25.5</x:v>
      </x:c>
      <x:c r="L270" s="23" t="n">
        <x:v>0.41</x:v>
      </x:c>
      <x:c r="M270" s="9" t="str">
        <x:v>U</x:v>
      </x:c>
      <x:c r="N270" s="9" t="str">
        <x:f>IF(M270="W",1,IF(M270="L",0,""))</x:f>
      </x:c>
      <x:c r="O270" s="24" t="str">
        <x:f>IF(OR(M270="W",M270="L"),(L270-N270)^2,"")</x:f>
      </x:c>
      <x:c r="P270" s="9" t="str">
        <x:v>YES</x:v>
      </x:c>
      <x:c r="Q270" s="9" t="str">
        <x:v>40-49</x:v>
      </x:c>
      <x:c r="R270" s="9" t="str">
        <x:v>NO</x:v>
      </x:c>
      <x:c r="S270" s="10" t="str">
        <x:v>Cricbuzz/ESPN scorecard checked 2026-06-21</x:v>
      </x:c>
      <x:c r="T270" s="10" t="str">
        <x:f>IF(IFERROR(ISNUMBER(SEARCH("http",S270)),FALSE),"YES","NO")</x:f>
        <x:v>NO</x:v>
      </x:c>
      <x:c r="U270" s="10" t="str">
        <x:v>YES</x:v>
      </x:c>
      <x:c r="V270" s="10" t="str">
        <x:v>NO</x:v>
      </x:c>
      <x:c r="W270" s="10" t="str">
        <x:v>LEGACY_UNVERIFIED_SNAPSHOT: no immutable cutoff/model/source packet</x:v>
      </x:c>
      <x:c r="X270" s="10" t="str">
        <x:v>potential_post_event_input_text; exact_complement_selection</x:v>
      </x:c>
    </x:row>
    <x:row r="271">
      <x:c r="A271" s="9" t="n">
        <x:v>267</x:v>
      </x:c>
      <x:c r="B271" s="9" t="str">
        <x:v>SOC-WC2026-20260621-NED-SWE</x:v>
      </x:c>
      <x:c r="C271" s="25" t="str">
        <x:v>2026-06-21</x:v>
      </x:c>
      <x:c r="D271" s="9" t="str">
        <x:v>Soccer</x:v>
      </x:c>
      <x:c r="E271" s="9" t="str">
        <x:v>Soccer/FIFA World Cup</x:v>
      </x:c>
      <x:c r="F271" s="10" t="str">
        <x:v>Netherlands vs Sweden</x:v>
      </x:c>
      <x:c r="G271" s="10" t="str">
        <x:v>FIFA World Cup 2026 Group F</x:v>
      </x:c>
      <x:c r="H271" s="10" t="str">
        <x:v>1H goals 0.5 and full total 2.5</x:v>
      </x:c>
      <x:c r="I271" s="9" t="n">
        <x:v>1</x:v>
      </x:c>
      <x:c r="J271" s="10" t="str">
        <x:v>Combined 1H Goals Over 0.5</x:v>
      </x:c>
      <x:c r="K271" s="9" t="str">
        <x:v>1H Over 0.5</x:v>
      </x:c>
      <x:c r="L271" s="23" t="n">
        <x:v>0.62</x:v>
      </x:c>
      <x:c r="M271" s="9" t="str">
        <x:v>W</x:v>
      </x:c>
      <x:c r="N271" s="9" t="n">
        <x:f>IF(M271="W",1,IF(M271="L",0,""))</x:f>
        <x:v>1</x:v>
      </x:c>
      <x:c r="O271" s="24" t="n">
        <x:f>IF(OR(M271="W",M271="L"),(L271-N271)^2,"")</x:f>
        <x:v>0.1444</x:v>
      </x:c>
      <x:c r="P271" s="9" t="str">
        <x:v>YES</x:v>
      </x:c>
      <x:c r="Q271" s="9" t="str">
        <x:v>60-69</x:v>
      </x:c>
      <x:c r="R271" s="9" t="str">
        <x:v>NO</x:v>
      </x:c>
      <x:c r="S271" s="10" t="str">
        <x:v>Sky/Guardian/Fox final checked 2026-06-21</x:v>
      </x:c>
      <x:c r="T271" s="10" t="str">
        <x:f>IF(IFERROR(ISNUMBER(SEARCH("http",S271)),FALSE),"YES","NO")</x:f>
        <x:v>NO</x:v>
      </x:c>
      <x:c r="U271" s="10" t="str">
        <x:v>YES</x:v>
      </x:c>
      <x:c r="V271" s="10" t="str">
        <x:v>NO</x:v>
      </x:c>
      <x:c r="W271" s="10" t="str">
        <x:v>LEGACY_UNVERIFIED_SNAPSHOT: no immutable cutoff/model/source packet</x:v>
      </x:c>
      <x:c r="X271" s="10" t="str">
        <x:v>potential_post_event_input_text; exact_complement_selection</x:v>
      </x:c>
    </x:row>
    <x:row r="272">
      <x:c r="A272" s="9" t="n">
        <x:v>268</x:v>
      </x:c>
      <x:c r="B272" s="9" t="str">
        <x:v>SOC-WC2026-20260621-NED-SWE</x:v>
      </x:c>
      <x:c r="C272" s="25" t="str">
        <x:v>2026-06-21</x:v>
      </x:c>
      <x:c r="D272" s="9" t="str">
        <x:v>Soccer</x:v>
      </x:c>
      <x:c r="E272" s="9" t="str">
        <x:v>Soccer/FIFA World Cup</x:v>
      </x:c>
      <x:c r="F272" s="10" t="str">
        <x:v>Netherlands vs Sweden</x:v>
      </x:c>
      <x:c r="G272" s="10" t="str">
        <x:v>FIFA World Cup 2026 Group F</x:v>
      </x:c>
      <x:c r="H272" s="10" t="str">
        <x:v>1H goals 0.5 and full total 2.5</x:v>
      </x:c>
      <x:c r="I272" s="9" t="n">
        <x:v>2</x:v>
      </x:c>
      <x:c r="J272" s="10" t="str">
        <x:v>Combined Total Goals Over 2.5</x:v>
      </x:c>
      <x:c r="K272" s="9" t="str">
        <x:v>Over 2.5</x:v>
      </x:c>
      <x:c r="L272" s="23" t="n">
        <x:v>0.57</x:v>
      </x:c>
      <x:c r="M272" s="9" t="str">
        <x:v>W</x:v>
      </x:c>
      <x:c r="N272" s="9" t="n">
        <x:f>IF(M272="W",1,IF(M272="L",0,""))</x:f>
        <x:v>1</x:v>
      </x:c>
      <x:c r="O272" s="24" t="n">
        <x:f>IF(OR(M272="W",M272="L"),(L272-N272)^2,"")</x:f>
        <x:v>0.18490000000000004</x:v>
      </x:c>
      <x:c r="P272" s="9" t="str">
        <x:v>YES</x:v>
      </x:c>
      <x:c r="Q272" s="9" t="str">
        <x:v>50-59</x:v>
      </x:c>
      <x:c r="R272" s="9" t="str">
        <x:v>NO</x:v>
      </x:c>
      <x:c r="S272" s="10" t="str">
        <x:v>Sky/Guardian/Fox final checked 2026-06-21</x:v>
      </x:c>
      <x:c r="T272" s="10" t="str">
        <x:f>IF(IFERROR(ISNUMBER(SEARCH("http",S272)),FALSE),"YES","NO")</x:f>
        <x:v>NO</x:v>
      </x:c>
      <x:c r="U272" s="10" t="str">
        <x:v>YES</x:v>
      </x:c>
      <x:c r="V272" s="10" t="str">
        <x:v>NO</x:v>
      </x:c>
      <x:c r="W272" s="10" t="str">
        <x:v>LEGACY_UNVERIFIED_SNAPSHOT: no immutable cutoff/model/source packet</x:v>
      </x:c>
      <x:c r="X272" s="10" t="str">
        <x:v>potential_post_event_input_text; exact_complement_selection</x:v>
      </x:c>
    </x:row>
    <x:row r="273">
      <x:c r="A273" s="9" t="n">
        <x:v>269</x:v>
      </x:c>
      <x:c r="B273" s="9" t="str">
        <x:v>SOC-WC2026-20260621-NED-SWE</x:v>
      </x:c>
      <x:c r="C273" s="25" t="str">
        <x:v>2026-06-21</x:v>
      </x:c>
      <x:c r="D273" s="9" t="str">
        <x:v>Soccer</x:v>
      </x:c>
      <x:c r="E273" s="9" t="str">
        <x:v>Soccer/FIFA World Cup</x:v>
      </x:c>
      <x:c r="F273" s="10" t="str">
        <x:v>Netherlands vs Sweden</x:v>
      </x:c>
      <x:c r="G273" s="10" t="str">
        <x:v>FIFA World Cup 2026 Group F</x:v>
      </x:c>
      <x:c r="H273" s="10" t="str">
        <x:v>1H goals 0.5 and full total 2.5</x:v>
      </x:c>
      <x:c r="I273" s="9" t="n">
        <x:v>3</x:v>
      </x:c>
      <x:c r="J273" s="10" t="str">
        <x:v>Combined Total Goals Under 2.5</x:v>
      </x:c>
      <x:c r="K273" s="9" t="str">
        <x:v>Under 2.5</x:v>
      </x:c>
      <x:c r="L273" s="23" t="n">
        <x:v>0.43</x:v>
      </x:c>
      <x:c r="M273" s="9" t="str">
        <x:v>L</x:v>
      </x:c>
      <x:c r="N273" s="9" t="n">
        <x:f>IF(M273="W",1,IF(M273="L",0,""))</x:f>
        <x:v>0</x:v>
      </x:c>
      <x:c r="O273" s="24" t="n">
        <x:f>IF(OR(M273="W",M273="L"),(L273-N273)^2,"")</x:f>
        <x:v>0.18489999999999998</x:v>
      </x:c>
      <x:c r="P273" s="9" t="str">
        <x:v>YES</x:v>
      </x:c>
      <x:c r="Q273" s="9" t="str">
        <x:v>40-49</x:v>
      </x:c>
      <x:c r="R273" s="9" t="str">
        <x:v>NO</x:v>
      </x:c>
      <x:c r="S273" s="10" t="str">
        <x:v>Sky/Guardian/Fox final checked 2026-06-21</x:v>
      </x:c>
      <x:c r="T273" s="10" t="str">
        <x:f>IF(IFERROR(ISNUMBER(SEARCH("http",S273)),FALSE),"YES","NO")</x:f>
        <x:v>NO</x:v>
      </x:c>
      <x:c r="U273" s="10" t="str">
        <x:v>YES</x:v>
      </x:c>
      <x:c r="V273" s="10" t="str">
        <x:v>NO</x:v>
      </x:c>
      <x:c r="W273" s="10" t="str">
        <x:v>LEGACY_UNVERIFIED_SNAPSHOT: no immutable cutoff/model/source packet</x:v>
      </x:c>
      <x:c r="X273" s="10" t="str">
        <x:v>potential_post_event_input_text; exact_complement_selection</x:v>
      </x:c>
    </x:row>
    <x:row r="274">
      <x:c r="A274" s="9" t="n">
        <x:v>270</x:v>
      </x:c>
      <x:c r="B274" s="9" t="str">
        <x:v>SOC-WC2026-20260621-NED-SWE</x:v>
      </x:c>
      <x:c r="C274" s="25" t="str">
        <x:v>2026-06-21</x:v>
      </x:c>
      <x:c r="D274" s="9" t="str">
        <x:v>Soccer</x:v>
      </x:c>
      <x:c r="E274" s="9" t="str">
        <x:v>Soccer/FIFA World Cup</x:v>
      </x:c>
      <x:c r="F274" s="10" t="str">
        <x:v>Netherlands vs Sweden</x:v>
      </x:c>
      <x:c r="G274" s="10" t="str">
        <x:v>FIFA World Cup 2026 Group F</x:v>
      </x:c>
      <x:c r="H274" s="10" t="str">
        <x:v>1H goals 0.5 and full total 2.5</x:v>
      </x:c>
      <x:c r="I274" s="9" t="n">
        <x:v>4</x:v>
      </x:c>
      <x:c r="J274" s="10" t="str">
        <x:v>Combined 1H Goals Under 0.5</x:v>
      </x:c>
      <x:c r="K274" s="9" t="str">
        <x:v>1H Under 0.5</x:v>
      </x:c>
      <x:c r="L274" s="23" t="n">
        <x:v>0.38</x:v>
      </x:c>
      <x:c r="M274" s="9" t="str">
        <x:v>L</x:v>
      </x:c>
      <x:c r="N274" s="9" t="n">
        <x:f>IF(M274="W",1,IF(M274="L",0,""))</x:f>
        <x:v>0</x:v>
      </x:c>
      <x:c r="O274" s="24" t="n">
        <x:f>IF(OR(M274="W",M274="L"),(L274-N274)^2,"")</x:f>
        <x:v>0.1444</x:v>
      </x:c>
      <x:c r="P274" s="9" t="str">
        <x:v>YES</x:v>
      </x:c>
      <x:c r="Q274" s="9" t="str">
        <x:v>30-39</x:v>
      </x:c>
      <x:c r="R274" s="9" t="str">
        <x:v>NO</x:v>
      </x:c>
      <x:c r="S274" s="10" t="str">
        <x:v>Sky/Guardian/Fox final checked 2026-06-21</x:v>
      </x:c>
      <x:c r="T274" s="10" t="str">
        <x:f>IF(IFERROR(ISNUMBER(SEARCH("http",S274)),FALSE),"YES","NO")</x:f>
        <x:v>NO</x:v>
      </x:c>
      <x:c r="U274" s="10" t="str">
        <x:v>YES</x:v>
      </x:c>
      <x:c r="V274" s="10" t="str">
        <x:v>NO</x:v>
      </x:c>
      <x:c r="W274" s="10" t="str">
        <x:v>LEGACY_UNVERIFIED_SNAPSHOT: no immutable cutoff/model/source packet</x:v>
      </x:c>
      <x:c r="X274" s="10" t="str">
        <x:v>potential_post_event_input_text; exact_complement_selection</x:v>
      </x:c>
    </x:row>
    <x:row r="275">
      <x:c r="A275" s="9" t="n">
        <x:v>271</x:v>
      </x:c>
      <x:c r="B275" s="9" t="str">
        <x:v>WNBA-20260621-IND-ATL</x:v>
      </x:c>
      <x:c r="C275" s="25" t="str">
        <x:v>2026-06-21</x:v>
      </x:c>
      <x:c r="D275" s="9" t="str">
        <x:v>Basketball</x:v>
      </x:c>
      <x:c r="E275" s="9" t="str">
        <x:v>WNBA</x:v>
      </x:c>
      <x:c r="F275" s="10" t="str">
        <x:v>Indiana Fever @ Atlanta Dream</x:v>
      </x:c>
      <x:c r="G275" s="10" t="str">
        <x:v>WNBA regular season</x:v>
      </x:c>
      <x:c r="H275" s="10" t="str">
        <x:v>Fever -5.5, Dream +5.5, total 175.5, 1H 89.5</x:v>
      </x:c>
      <x:c r="I275" s="9" t="n">
        <x:v>1</x:v>
      </x:c>
      <x:c r="J275" s="10" t="str">
        <x:v>Atlanta Dream +5.5</x:v>
      </x:c>
      <x:c r="K275" s="9" t="str">
        <x:v>+5.5</x:v>
      </x:c>
      <x:c r="L275" s="23" t="n">
        <x:v>0.68</x:v>
      </x:c>
      <x:c r="M275" s="9" t="str">
        <x:v>W</x:v>
      </x:c>
      <x:c r="N275" s="9" t="n">
        <x:f>IF(M275="W",1,IF(M275="L",0,""))</x:f>
        <x:v>1</x:v>
      </x:c>
      <x:c r="O275" s="24" t="n">
        <x:f>IF(OR(M275="W",M275="L"),(L275-N275)^2,"")</x:f>
        <x:v>0.10239999999999996</x:v>
      </x:c>
      <x:c r="P275" s="9" t="str">
        <x:v>YES</x:v>
      </x:c>
      <x:c r="Q275" s="9" t="str">
        <x:v>60-69</x:v>
      </x:c>
      <x:c r="R275" s="9" t="str">
        <x:v>NO</x:v>
      </x:c>
      <x:c r="S275" s="10" t="str">
        <x:v>ESPN event API/final checked 2026-06-21</x:v>
      </x:c>
      <x:c r="T275" s="10" t="str">
        <x:f>IF(IFERROR(ISNUMBER(SEARCH("http",S275)),FALSE),"YES","NO")</x:f>
        <x:v>NO</x:v>
      </x:c>
      <x:c r="U275" s="10" t="str">
        <x:v>YES</x:v>
      </x:c>
      <x:c r="V275" s="10" t="str">
        <x:v>NO</x:v>
      </x:c>
      <x:c r="W275" s="10" t="str">
        <x:v>LEGACY_UNVERIFIED_SNAPSHOT: no immutable cutoff/model/source packet</x:v>
      </x:c>
      <x:c r="X275" s="10" t="str">
        <x:v>potential_post_event_input_text; exact_complement_selection</x:v>
      </x:c>
    </x:row>
    <x:row r="276">
      <x:c r="A276" s="9" t="n">
        <x:v>272</x:v>
      </x:c>
      <x:c r="B276" s="9" t="str">
        <x:v>WNBA-20260621-IND-ATL</x:v>
      </x:c>
      <x:c r="C276" s="25" t="str">
        <x:v>2026-06-21</x:v>
      </x:c>
      <x:c r="D276" s="9" t="str">
        <x:v>Basketball</x:v>
      </x:c>
      <x:c r="E276" s="9" t="str">
        <x:v>WNBA</x:v>
      </x:c>
      <x:c r="F276" s="10" t="str">
        <x:v>Indiana Fever @ Atlanta Dream</x:v>
      </x:c>
      <x:c r="G276" s="10" t="str">
        <x:v>WNBA regular season</x:v>
      </x:c>
      <x:c r="H276" s="10" t="str">
        <x:v>Fever -5.5, Dream +5.5, total 175.5, 1H 89.5</x:v>
      </x:c>
      <x:c r="I276" s="9" t="n">
        <x:v>2</x:v>
      </x:c>
      <x:c r="J276" s="10" t="str">
        <x:v>Combined Total Over 175.5</x:v>
      </x:c>
      <x:c r="K276" s="9" t="str">
        <x:v>Over 175.5</x:v>
      </x:c>
      <x:c r="L276" s="23" t="n">
        <x:v>0.55</x:v>
      </x:c>
      <x:c r="M276" s="9" t="str">
        <x:v>W</x:v>
      </x:c>
      <x:c r="N276" s="9" t="n">
        <x:f>IF(M276="W",1,IF(M276="L",0,""))</x:f>
        <x:v>1</x:v>
      </x:c>
      <x:c r="O276" s="24" t="n">
        <x:f>IF(OR(M276="W",M276="L"),(L276-N276)^2,"")</x:f>
        <x:v>0.20249999999999996</x:v>
      </x:c>
      <x:c r="P276" s="9" t="str">
        <x:v>NO</x:v>
      </x:c>
      <x:c r="Q276" s="9" t="str">
        <x:v>50-59</x:v>
      </x:c>
      <x:c r="R276" s="9" t="str">
        <x:v>NO</x:v>
      </x:c>
      <x:c r="S276" s="10" t="str">
        <x:v>ESPN event API/final checked 2026-06-21</x:v>
      </x:c>
      <x:c r="T276" s="10" t="str">
        <x:f>IF(IFERROR(ISNUMBER(SEARCH("http",S276)),FALSE),"YES","NO")</x:f>
        <x:v>NO</x:v>
      </x:c>
      <x:c r="U276" s="10" t="str">
        <x:v>YES</x:v>
      </x:c>
      <x:c r="V276" s="10" t="str">
        <x:v>NO</x:v>
      </x:c>
      <x:c r="W276" s="10" t="str">
        <x:v>LEGACY_UNVERIFIED_SNAPSHOT: no immutable cutoff/model/source packet</x:v>
      </x:c>
      <x:c r="X276" s="10" t="str">
        <x:v>potential_post_event_input_text</x:v>
      </x:c>
    </x:row>
    <x:row r="277">
      <x:c r="A277" s="9" t="n">
        <x:v>273</x:v>
      </x:c>
      <x:c r="B277" s="9" t="str">
        <x:v>WNBA-20260621-IND-ATL</x:v>
      </x:c>
      <x:c r="C277" s="25" t="str">
        <x:v>2026-06-21</x:v>
      </x:c>
      <x:c r="D277" s="9" t="str">
        <x:v>Basketball</x:v>
      </x:c>
      <x:c r="E277" s="9" t="str">
        <x:v>WNBA</x:v>
      </x:c>
      <x:c r="F277" s="10" t="str">
        <x:v>Indiana Fever @ Atlanta Dream</x:v>
      </x:c>
      <x:c r="G277" s="10" t="str">
        <x:v>WNBA regular season</x:v>
      </x:c>
      <x:c r="H277" s="10" t="str">
        <x:v>Fever -5.5, Dream +5.5, total 175.5, 1H 89.5</x:v>
      </x:c>
      <x:c r="I277" s="9" t="n">
        <x:v>3</x:v>
      </x:c>
      <x:c r="J277" s="10" t="str">
        <x:v>Combined 1st Half Total Over 89.5</x:v>
      </x:c>
      <x:c r="K277" s="9" t="str">
        <x:v>1H Over 89.5</x:v>
      </x:c>
      <x:c r="L277" s="23" t="n">
        <x:v>0.52</x:v>
      </x:c>
      <x:c r="M277" s="9" t="str">
        <x:v>W</x:v>
      </x:c>
      <x:c r="N277" s="9" t="n">
        <x:f>IF(M277="W",1,IF(M277="L",0,""))</x:f>
        <x:v>1</x:v>
      </x:c>
      <x:c r="O277" s="24" t="n">
        <x:f>IF(OR(M277="W",M277="L"),(L277-N277)^2,"")</x:f>
        <x:v>0.2304</x:v>
      </x:c>
      <x:c r="P277" s="9" t="str">
        <x:v>NO</x:v>
      </x:c>
      <x:c r="Q277" s="9" t="str">
        <x:v>50-59</x:v>
      </x:c>
      <x:c r="R277" s="9" t="str">
        <x:v>NO</x:v>
      </x:c>
      <x:c r="S277" s="10" t="str">
        <x:v>ESPN event API/final checked 2026-06-21</x:v>
      </x:c>
      <x:c r="T277" s="10" t="str">
        <x:f>IF(IFERROR(ISNUMBER(SEARCH("http",S277)),FALSE),"YES","NO")</x:f>
        <x:v>NO</x:v>
      </x:c>
      <x:c r="U277" s="10" t="str">
        <x:v>YES</x:v>
      </x:c>
      <x:c r="V277" s="10" t="str">
        <x:v>NO</x:v>
      </x:c>
      <x:c r="W277" s="10" t="str">
        <x:v>LEGACY_UNVERIFIED_SNAPSHOT: no immutable cutoff/model/source packet</x:v>
      </x:c>
      <x:c r="X277" s="10" t="str">
        <x:v>potential_post_event_input_text</x:v>
      </x:c>
    </x:row>
    <x:row r="278">
      <x:c r="A278" s="9" t="n">
        <x:v>274</x:v>
      </x:c>
      <x:c r="B278" s="9" t="str">
        <x:v>WNBA-20260621-IND-ATL</x:v>
      </x:c>
      <x:c r="C278" s="25" t="str">
        <x:v>2026-06-21</x:v>
      </x:c>
      <x:c r="D278" s="9" t="str">
        <x:v>Basketball</x:v>
      </x:c>
      <x:c r="E278" s="9" t="str">
        <x:v>WNBA</x:v>
      </x:c>
      <x:c r="F278" s="10" t="str">
        <x:v>Indiana Fever @ Atlanta Dream</x:v>
      </x:c>
      <x:c r="G278" s="10" t="str">
        <x:v>WNBA regular season</x:v>
      </x:c>
      <x:c r="H278" s="10" t="str">
        <x:v>Fever -5.5, Dream +5.5, total 175.5, 1H 89.5</x:v>
      </x:c>
      <x:c r="I278" s="9" t="n">
        <x:v>4</x:v>
      </x:c>
      <x:c r="J278" s="10" t="str">
        <x:v>Indiana Fever -5.5</x:v>
      </x:c>
      <x:c r="K278" s="9" t="str">
        <x:v>-5.5</x:v>
      </x:c>
      <x:c r="L278" s="23" t="n">
        <x:v>0.32</x:v>
      </x:c>
      <x:c r="M278" s="9" t="str">
        <x:v>L</x:v>
      </x:c>
      <x:c r="N278" s="9" t="n">
        <x:f>IF(M278="W",1,IF(M278="L",0,""))</x:f>
        <x:v>0</x:v>
      </x:c>
      <x:c r="O278" s="24" t="n">
        <x:f>IF(OR(M278="W",M278="L"),(L278-N278)^2,"")</x:f>
        <x:v>0.1024</x:v>
      </x:c>
      <x:c r="P278" s="9" t="str">
        <x:v>YES</x:v>
      </x:c>
      <x:c r="Q278" s="9" t="str">
        <x:v>30-39</x:v>
      </x:c>
      <x:c r="R278" s="9" t="str">
        <x:v>NO</x:v>
      </x:c>
      <x:c r="S278" s="10" t="str">
        <x:v>ESPN event API/final checked 2026-06-21</x:v>
      </x:c>
      <x:c r="T278" s="10" t="str">
        <x:f>IF(IFERROR(ISNUMBER(SEARCH("http",S278)),FALSE),"YES","NO")</x:f>
        <x:v>NO</x:v>
      </x:c>
      <x:c r="U278" s="10" t="str">
        <x:v>YES</x:v>
      </x:c>
      <x:c r="V278" s="10" t="str">
        <x:v>NO</x:v>
      </x:c>
      <x:c r="W278" s="10" t="str">
        <x:v>LEGACY_UNVERIFIED_SNAPSHOT: no immutable cutoff/model/source packet</x:v>
      </x:c>
      <x:c r="X278" s="10" t="str">
        <x:v>potential_post_event_input_text; exact_complement_selection</x:v>
      </x:c>
    </x:row>
    <x:row r="279">
      <x:c r="A279" s="9" t="n">
        <x:v>275</x:v>
      </x:c>
      <x:c r="B279" s="9" t="str">
        <x:v>CRIC-WT20WC-20260621-ENGW-SCOW</x:v>
      </x:c>
      <x:c r="C279" s="25" t="str">
        <x:v>2026-06-21</x:v>
      </x:c>
      <x:c r="D279" s="9" t="str">
        <x:v>Cricket</x:v>
      </x:c>
      <x:c r="E279" s="9" t="str">
        <x:v>Cricket/WT20I</x:v>
      </x:c>
      <x:c r="F279" s="10" t="str">
        <x:v>England Women vs Scotland Women</x:v>
      </x:c>
      <x:c r="G279" s="10" t="str">
        <x:v>ICC Women's T20 World Cup 2026 Group B</x:v>
      </x:c>
      <x:c r="H279" s="10" t="str">
        <x:v>England innings 184.5/84.5 and PP 51.5</x:v>
      </x:c>
      <x:c r="I279" s="9" t="n">
        <x:v>1</x:v>
      </x:c>
      <x:c r="J279" s="10" t="str">
        <x:v>England 1st innings 6 overs Under 51.5</x:v>
      </x:c>
      <x:c r="K279" s="9" t="str">
        <x:v>Under 51.5</x:v>
      </x:c>
      <x:c r="L279" s="23" t="n">
        <x:v>0.57</x:v>
      </x:c>
      <x:c r="M279" s="9" t="str">
        <x:v>W</x:v>
      </x:c>
      <x:c r="N279" s="9" t="n">
        <x:f>IF(M279="W",1,IF(M279="L",0,""))</x:f>
        <x:v>1</x:v>
      </x:c>
      <x:c r="O279" s="24" t="n">
        <x:f>IF(OR(M279="W",M279="L"),(L279-N279)^2,"")</x:f>
        <x:v>0.18490000000000004</x:v>
      </x:c>
      <x:c r="P279" s="9" t="str">
        <x:v>YES</x:v>
      </x:c>
      <x:c r="Q279" s="9" t="str">
        <x:v>50-59</x:v>
      </x:c>
      <x:c r="R279" s="9" t="str">
        <x:v>NO</x:v>
      </x:c>
      <x:c r="S279" s="10" t="str">
        <x:v>Cricbuzz final scorecard checked 2026-06-21</x:v>
      </x:c>
      <x:c r="T279" s="10" t="str">
        <x:f>IF(IFERROR(ISNUMBER(SEARCH("http",S279)),FALSE),"YES","NO")</x:f>
        <x:v>NO</x:v>
      </x:c>
      <x:c r="U279" s="10" t="str">
        <x:v>YES</x:v>
      </x:c>
      <x:c r="V279" s="10" t="str">
        <x:v>NO</x:v>
      </x:c>
      <x:c r="W279" s="10" t="str">
        <x:v>LEGACY_UNVERIFIED_SNAPSHOT: no immutable cutoff/model/source packet</x:v>
      </x:c>
      <x:c r="X279" s="10" t="str">
        <x:v>source_error; potential_post_event_input_text; exact_complement_selection</x:v>
      </x:c>
    </x:row>
    <x:row r="280">
      <x:c r="A280" s="9" t="n">
        <x:v>276</x:v>
      </x:c>
      <x:c r="B280" s="9" t="str">
        <x:v>CRIC-WT20WC-20260621-ENGW-SCOW</x:v>
      </x:c>
      <x:c r="C280" s="25" t="str">
        <x:v>2026-06-21</x:v>
      </x:c>
      <x:c r="D280" s="9" t="str">
        <x:v>Cricket</x:v>
      </x:c>
      <x:c r="E280" s="9" t="str">
        <x:v>Cricket/WT20I</x:v>
      </x:c>
      <x:c r="F280" s="10" t="str">
        <x:v>England Women vs Scotland Women</x:v>
      </x:c>
      <x:c r="G280" s="10" t="str">
        <x:v>ICC Women's T20 World Cup 2026 Group B</x:v>
      </x:c>
      <x:c r="H280" s="10" t="str">
        <x:v>England innings 184.5/84.5 and PP 51.5</x:v>
      </x:c>
      <x:c r="I280" s="9" t="n">
        <x:v>2</x:v>
      </x:c>
      <x:c r="J280" s="10" t="str">
        <x:v>England 1st innings 20 overs Over 184.5</x:v>
      </x:c>
      <x:c r="K280" s="9" t="str">
        <x:v>Over 184.5</x:v>
      </x:c>
      <x:c r="L280" s="23" t="n">
        <x:v>0.46</x:v>
      </x:c>
      <x:c r="M280" s="9" t="str">
        <x:v>W</x:v>
      </x:c>
      <x:c r="N280" s="9" t="n">
        <x:f>IF(M280="W",1,IF(M280="L",0,""))</x:f>
        <x:v>1</x:v>
      </x:c>
      <x:c r="O280" s="24" t="n">
        <x:f>IF(OR(M280="W",M280="L"),(L280-N280)^2,"")</x:f>
        <x:v>0.2916</x:v>
      </x:c>
      <x:c r="P280" s="9" t="str">
        <x:v>NO</x:v>
      </x:c>
      <x:c r="Q280" s="9" t="str">
        <x:v>40-49</x:v>
      </x:c>
      <x:c r="R280" s="9" t="str">
        <x:v>NO</x:v>
      </x:c>
      <x:c r="S280" s="10" t="str">
        <x:v>Cricbuzz final scorecard checked 2026-06-21</x:v>
      </x:c>
      <x:c r="T280" s="10" t="str">
        <x:f>IF(IFERROR(ISNUMBER(SEARCH("http",S280)),FALSE),"YES","NO")</x:f>
        <x:v>NO</x:v>
      </x:c>
      <x:c r="U280" s="10" t="str">
        <x:v>YES</x:v>
      </x:c>
      <x:c r="V280" s="10" t="str">
        <x:v>NO</x:v>
      </x:c>
      <x:c r="W280" s="10" t="str">
        <x:v>LEGACY_UNVERIFIED_SNAPSHOT: no immutable cutoff/model/source packet</x:v>
      </x:c>
      <x:c r="X280" s="10" t="str">
        <x:v>potential_post_event_input_text</x:v>
      </x:c>
    </x:row>
    <x:row r="281">
      <x:c r="A281" s="9" t="n">
        <x:v>277</x:v>
      </x:c>
      <x:c r="B281" s="9" t="str">
        <x:v>CRIC-WT20WC-20260621-ENGW-SCOW</x:v>
      </x:c>
      <x:c r="C281" s="25" t="str">
        <x:v>2026-06-21</x:v>
      </x:c>
      <x:c r="D281" s="9" t="str">
        <x:v>Cricket</x:v>
      </x:c>
      <x:c r="E281" s="9" t="str">
        <x:v>Cricket/WT20I</x:v>
      </x:c>
      <x:c r="F281" s="10" t="str">
        <x:v>England Women vs Scotland Women</x:v>
      </x:c>
      <x:c r="G281" s="10" t="str">
        <x:v>ICC Women's T20 World Cup 2026 Group B</x:v>
      </x:c>
      <x:c r="H281" s="10" t="str">
        <x:v>England innings 184.5/84.5 and PP 51.5</x:v>
      </x:c>
      <x:c r="I281" s="9" t="n">
        <x:v>3</x:v>
      </x:c>
      <x:c r="J281" s="10" t="str">
        <x:v>England 1st innings 6 overs Over 51.5</x:v>
      </x:c>
      <x:c r="K281" s="9" t="str">
        <x:v>Over 51.5</x:v>
      </x:c>
      <x:c r="L281" s="23" t="n">
        <x:v>0.43</x:v>
      </x:c>
      <x:c r="M281" s="9" t="str">
        <x:v>L</x:v>
      </x:c>
      <x:c r="N281" s="9" t="n">
        <x:f>IF(M281="W",1,IF(M281="L",0,""))</x:f>
        <x:v>0</x:v>
      </x:c>
      <x:c r="O281" s="24" t="n">
        <x:f>IF(OR(M281="W",M281="L"),(L281-N281)^2,"")</x:f>
        <x:v>0.18489999999999998</x:v>
      </x:c>
      <x:c r="P281" s="9" t="str">
        <x:v>YES</x:v>
      </x:c>
      <x:c r="Q281" s="9" t="str">
        <x:v>40-49</x:v>
      </x:c>
      <x:c r="R281" s="9" t="str">
        <x:v>NO</x:v>
      </x:c>
      <x:c r="S281" s="10" t="str">
        <x:v>Cricbuzz final scorecard checked 2026-06-21</x:v>
      </x:c>
      <x:c r="T281" s="10" t="str">
        <x:f>IF(IFERROR(ISNUMBER(SEARCH("http",S281)),FALSE),"YES","NO")</x:f>
        <x:v>NO</x:v>
      </x:c>
      <x:c r="U281" s="10" t="str">
        <x:v>YES</x:v>
      </x:c>
      <x:c r="V281" s="10" t="str">
        <x:v>NO</x:v>
      </x:c>
      <x:c r="W281" s="10" t="str">
        <x:v>LEGACY_UNVERIFIED_SNAPSHOT: no immutable cutoff/model/source packet</x:v>
      </x:c>
      <x:c r="X281" s="10" t="str">
        <x:v>potential_post_event_input_text; exact_complement_selection</x:v>
      </x:c>
    </x:row>
    <x:row r="282">
      <x:c r="A282" s="9" t="n">
        <x:v>278</x:v>
      </x:c>
      <x:c r="B282" s="9" t="str">
        <x:v>CRIC-WT20WC-20260621-ENGW-SCOW</x:v>
      </x:c>
      <x:c r="C282" s="25" t="str">
        <x:v>2026-06-21</x:v>
      </x:c>
      <x:c r="D282" s="9" t="str">
        <x:v>Cricket</x:v>
      </x:c>
      <x:c r="E282" s="9" t="str">
        <x:v>Cricket/WT20I</x:v>
      </x:c>
      <x:c r="F282" s="10" t="str">
        <x:v>England Women vs Scotland Women</x:v>
      </x:c>
      <x:c r="G282" s="10" t="str">
        <x:v>ICC Women's T20 World Cup 2026 Group B</x:v>
      </x:c>
      <x:c r="H282" s="10" t="str">
        <x:v>England innings 184.5/84.5 and PP 51.5</x:v>
      </x:c>
      <x:c r="I282" s="9" t="n">
        <x:v>4</x:v>
      </x:c>
      <x:c r="J282" s="10" t="str">
        <x:v>England 1st innings 20 overs Under 84.5</x:v>
      </x:c>
      <x:c r="K282" s="9" t="str">
        <x:v>Under 84.5</x:v>
      </x:c>
      <x:c r="L282" s="23" t="n">
        <x:v>0.08</x:v>
      </x:c>
      <x:c r="M282" s="9" t="str">
        <x:v>L</x:v>
      </x:c>
      <x:c r="N282" s="9" t="n">
        <x:f>IF(M282="W",1,IF(M282="L",0,""))</x:f>
        <x:v>0</x:v>
      </x:c>
      <x:c r="O282" s="24" t="n">
        <x:f>IF(OR(M282="W",M282="L"),(L282-N282)^2,"")</x:f>
        <x:v>0.0064</x:v>
      </x:c>
      <x:c r="P282" s="9" t="str">
        <x:v>NO</x:v>
      </x:c>
      <x:c r="Q282" s="9" t="str">
        <x:v>0-19</x:v>
      </x:c>
      <x:c r="R282" s="9" t="str">
        <x:v>NO</x:v>
      </x:c>
      <x:c r="S282" s="10" t="str">
        <x:v>Cricbuzz final scorecard checked 2026-06-21</x:v>
      </x:c>
      <x:c r="T282" s="10" t="str">
        <x:f>IF(IFERROR(ISNUMBER(SEARCH("http",S282)),FALSE),"YES","NO")</x:f>
        <x:v>NO</x:v>
      </x:c>
      <x:c r="U282" s="10" t="str">
        <x:v>YES</x:v>
      </x:c>
      <x:c r="V282" s="10" t="str">
        <x:v>NO</x:v>
      </x:c>
      <x:c r="W282" s="10" t="str">
        <x:v>LEGACY_UNVERIFIED_SNAPSHOT: no immutable cutoff/model/source packet</x:v>
      </x:c>
      <x:c r="X282" s="10" t="str">
        <x:v>potential_post_event_input_text</x:v>
      </x:c>
    </x:row>
    <x:row r="283">
      <x:c r="A283" s="9" t="n">
        <x:v>279</x:v>
      </x:c>
      <x:c r="B283" s="9" t="str">
        <x:v>MLB-20260621-TOR-CHC</x:v>
      </x:c>
      <x:c r="C283" s="25" t="str">
        <x:v>2026-06-21</x:v>
      </x:c>
      <x:c r="D283" s="9" t="str">
        <x:v>Baseball</x:v>
      </x:c>
      <x:c r="E283" s="9" t="str">
        <x:v>MLB</x:v>
      </x:c>
      <x:c r="F283" s="10" t="str">
        <x:v>Toronto Blue Jays @ Chicago Cubs</x:v>
      </x:c>
      <x:c r="G283" s="10" t="str">
        <x:v>MLB regular season</x:v>
      </x:c>
      <x:c r="H283" s="10" t="str">
        <x:v>Blue Jays +1.5, Cubs +0.5, total 9.5</x:v>
      </x:c>
      <x:c r="I283" s="9" t="n">
        <x:v>1</x:v>
      </x:c>
      <x:c r="J283" s="10" t="str">
        <x:v>Blue Jays +1.5</x:v>
      </x:c>
      <x:c r="K283" s="9" t="str">
        <x:v>+1.5</x:v>
      </x:c>
      <x:c r="L283" s="23" t="n">
        <x:v>0.59</x:v>
      </x:c>
      <x:c r="M283" s="9" t="str">
        <x:v>W</x:v>
      </x:c>
      <x:c r="N283" s="9" t="n">
        <x:f>IF(M283="W",1,IF(M283="L",0,""))</x:f>
        <x:v>1</x:v>
      </x:c>
      <x:c r="O283" s="24" t="n">
        <x:f>IF(OR(M283="W",M283="L"),(L283-N283)^2,"")</x:f>
        <x:v>0.16810000000000003</x:v>
      </x:c>
      <x:c r="P283" s="9" t="str">
        <x:v>NO</x:v>
      </x:c>
      <x:c r="Q283" s="9" t="str">
        <x:v>50-59</x:v>
      </x:c>
      <x:c r="R283" s="9" t="str">
        <x:v>NO</x:v>
      </x:c>
      <x:c r="S283" s="10" t="str">
        <x:v>MLB StatsAPI final checked 2026-06-21</x:v>
      </x:c>
      <x:c r="T283" s="10" t="str">
        <x:f>IF(IFERROR(ISNUMBER(SEARCH("http",S283)),FALSE),"YES","NO")</x:f>
        <x:v>NO</x:v>
      </x:c>
      <x:c r="U283" s="10" t="str">
        <x:v>YES</x:v>
      </x:c>
      <x:c r="V283" s="10" t="str">
        <x:v>NO</x:v>
      </x:c>
      <x:c r="W283" s="10" t="str">
        <x:v>LEGACY_UNVERIFIED_SNAPSHOT: no immutable cutoff/model/source packet</x:v>
      </x:c>
      <x:c r="X283" s="10" t="str">
        <x:v>potential_post_event_input_text</x:v>
      </x:c>
    </x:row>
    <x:row r="284">
      <x:c r="A284" s="9" t="n">
        <x:v>280</x:v>
      </x:c>
      <x:c r="B284" s="9" t="str">
        <x:v>MLB-20260621-TOR-CHC</x:v>
      </x:c>
      <x:c r="C284" s="25" t="str">
        <x:v>2026-06-21</x:v>
      </x:c>
      <x:c r="D284" s="9" t="str">
        <x:v>Baseball</x:v>
      </x:c>
      <x:c r="E284" s="9" t="str">
        <x:v>MLB</x:v>
      </x:c>
      <x:c r="F284" s="10" t="str">
        <x:v>Toronto Blue Jays @ Chicago Cubs</x:v>
      </x:c>
      <x:c r="G284" s="10" t="str">
        <x:v>MLB regular season</x:v>
      </x:c>
      <x:c r="H284" s="10" t="str">
        <x:v>Blue Jays +1.5, Cubs +0.5, total 9.5</x:v>
      </x:c>
      <x:c r="I284" s="9" t="n">
        <x:v>2</x:v>
      </x:c>
      <x:c r="J284" s="10" t="str">
        <x:v>Cubs +0.5 / Cubs to win</x:v>
      </x:c>
      <x:c r="K284" s="9" t="str">
        <x:v>Cubs +0.5</x:v>
      </x:c>
      <x:c r="L284" s="23" t="n">
        <x:v>0.57</x:v>
      </x:c>
      <x:c r="M284" s="9" t="str">
        <x:v>L</x:v>
      </x:c>
      <x:c r="N284" s="9" t="n">
        <x:f>IF(M284="W",1,IF(M284="L",0,""))</x:f>
        <x:v>0</x:v>
      </x:c>
      <x:c r="O284" s="24" t="n">
        <x:f>IF(OR(M284="W",M284="L"),(L284-N284)^2,"")</x:f>
        <x:v>0.32489999999999997</x:v>
      </x:c>
      <x:c r="P284" s="9" t="str">
        <x:v>NO</x:v>
      </x:c>
      <x:c r="Q284" s="9" t="str">
        <x:v>50-59</x:v>
      </x:c>
      <x:c r="R284" s="9" t="str">
        <x:v>NO</x:v>
      </x:c>
      <x:c r="S284" s="10" t="str">
        <x:v>MLB StatsAPI final checked 2026-06-21</x:v>
      </x:c>
      <x:c r="T284" s="10" t="str">
        <x:f>IF(IFERROR(ISNUMBER(SEARCH("http",S284)),FALSE),"YES","NO")</x:f>
        <x:v>NO</x:v>
      </x:c>
      <x:c r="U284" s="10" t="str">
        <x:v>YES</x:v>
      </x:c>
      <x:c r="V284" s="10" t="str">
        <x:v>NO</x:v>
      </x:c>
      <x:c r="W284" s="10" t="str">
        <x:v>LEGACY_UNVERIFIED_SNAPSHOT: no immutable cutoff/model/source packet</x:v>
      </x:c>
      <x:c r="X284" s="10" t="str">
        <x:v>projection_error; rank_error; potential_post_event_input_text</x:v>
      </x:c>
    </x:row>
    <x:row r="285">
      <x:c r="A285" s="9" t="n">
        <x:v>281</x:v>
      </x:c>
      <x:c r="B285" s="9" t="str">
        <x:v>MLB-20260621-TOR-CHC</x:v>
      </x:c>
      <x:c r="C285" s="25" t="str">
        <x:v>2026-06-21</x:v>
      </x:c>
      <x:c r="D285" s="9" t="str">
        <x:v>Baseball</x:v>
      </x:c>
      <x:c r="E285" s="9" t="str">
        <x:v>MLB</x:v>
      </x:c>
      <x:c r="F285" s="10" t="str">
        <x:v>Toronto Blue Jays @ Chicago Cubs</x:v>
      </x:c>
      <x:c r="G285" s="10" t="str">
        <x:v>MLB regular season</x:v>
      </x:c>
      <x:c r="H285" s="10" t="str">
        <x:v>Blue Jays +1.5, Cubs +0.5, total 9.5</x:v>
      </x:c>
      <x:c r="I285" s="9" t="n">
        <x:v>3</x:v>
      </x:c>
      <x:c r="J285" s="10" t="str">
        <x:v>Combined Total Over 9.5</x:v>
      </x:c>
      <x:c r="K285" s="9" t="str">
        <x:v>Over 9.5</x:v>
      </x:c>
      <x:c r="L285" s="23" t="n">
        <x:v>0.53</x:v>
      </x:c>
      <x:c r="M285" s="9" t="str">
        <x:v>W</x:v>
      </x:c>
      <x:c r="N285" s="9" t="n">
        <x:f>IF(M285="W",1,IF(M285="L",0,""))</x:f>
        <x:v>1</x:v>
      </x:c>
      <x:c r="O285" s="24" t="n">
        <x:f>IF(OR(M285="W",M285="L"),(L285-N285)^2,"")</x:f>
        <x:v>0.22089999999999999</x:v>
      </x:c>
      <x:c r="P285" s="9" t="str">
        <x:v>YES</x:v>
      </x:c>
      <x:c r="Q285" s="9" t="str">
        <x:v>50-59</x:v>
      </x:c>
      <x:c r="R285" s="9" t="str">
        <x:v>NO</x:v>
      </x:c>
      <x:c r="S285" s="10" t="str">
        <x:v>MLB StatsAPI final checked 2026-06-21</x:v>
      </x:c>
      <x:c r="T285" s="10" t="str">
        <x:f>IF(IFERROR(ISNUMBER(SEARCH("http",S285)),FALSE),"YES","NO")</x:f>
        <x:v>NO</x:v>
      </x:c>
      <x:c r="U285" s="10" t="str">
        <x:v>YES</x:v>
      </x:c>
      <x:c r="V285" s="10" t="str">
        <x:v>NO</x:v>
      </x:c>
      <x:c r="W285" s="10" t="str">
        <x:v>LEGACY_UNVERIFIED_SNAPSHOT: no immutable cutoff/model/source packet</x:v>
      </x:c>
      <x:c r="X285" s="10" t="str">
        <x:v>potential_post_event_input_text; exact_complement_selection</x:v>
      </x:c>
    </x:row>
    <x:row r="286">
      <x:c r="A286" s="9" t="n">
        <x:v>282</x:v>
      </x:c>
      <x:c r="B286" s="9" t="str">
        <x:v>MLB-20260621-TOR-CHC</x:v>
      </x:c>
      <x:c r="C286" s="25" t="str">
        <x:v>2026-06-21</x:v>
      </x:c>
      <x:c r="D286" s="9" t="str">
        <x:v>Baseball</x:v>
      </x:c>
      <x:c r="E286" s="9" t="str">
        <x:v>MLB</x:v>
      </x:c>
      <x:c r="F286" s="10" t="str">
        <x:v>Toronto Blue Jays @ Chicago Cubs</x:v>
      </x:c>
      <x:c r="G286" s="10" t="str">
        <x:v>MLB regular season</x:v>
      </x:c>
      <x:c r="H286" s="10" t="str">
        <x:v>Blue Jays +1.5, Cubs +0.5, total 9.5</x:v>
      </x:c>
      <x:c r="I286" s="9" t="n">
        <x:v>4</x:v>
      </x:c>
      <x:c r="J286" s="10" t="str">
        <x:v>Combined Total Under 9.5</x:v>
      </x:c>
      <x:c r="K286" s="9" t="str">
        <x:v>Under 9.5</x:v>
      </x:c>
      <x:c r="L286" s="23" t="n">
        <x:v>0.47</x:v>
      </x:c>
      <x:c r="M286" s="9" t="str">
        <x:v>L</x:v>
      </x:c>
      <x:c r="N286" s="9" t="n">
        <x:f>IF(M286="W",1,IF(M286="L",0,""))</x:f>
        <x:v>0</x:v>
      </x:c>
      <x:c r="O286" s="24" t="n">
        <x:f>IF(OR(M286="W",M286="L"),(L286-N286)^2,"")</x:f>
        <x:v>0.22089999999999999</x:v>
      </x:c>
      <x:c r="P286" s="9" t="str">
        <x:v>YES</x:v>
      </x:c>
      <x:c r="Q286" s="9" t="str">
        <x:v>40-49</x:v>
      </x:c>
      <x:c r="R286" s="9" t="str">
        <x:v>NO</x:v>
      </x:c>
      <x:c r="S286" s="10" t="str">
        <x:v>MLB StatsAPI final checked 2026-06-21</x:v>
      </x:c>
      <x:c r="T286" s="10" t="str">
        <x:f>IF(IFERROR(ISNUMBER(SEARCH("http",S286)),FALSE),"YES","NO")</x:f>
        <x:v>NO</x:v>
      </x:c>
      <x:c r="U286" s="10" t="str">
        <x:v>YES</x:v>
      </x:c>
      <x:c r="V286" s="10" t="str">
        <x:v>NO</x:v>
      </x:c>
      <x:c r="W286" s="10" t="str">
        <x:v>LEGACY_UNVERIFIED_SNAPSHOT: no immutable cutoff/model/source packet</x:v>
      </x:c>
      <x:c r="X286" s="10" t="str">
        <x:v>potential_post_event_input_text; exact_complement_selection</x:v>
      </x:c>
    </x:row>
    <x:row r="287">
      <x:c r="A287" s="9" t="n">
        <x:v>283</x:v>
      </x:c>
      <x:c r="B287" s="9" t="str">
        <x:v>CRIC-T20I-20260621-BAN-AUS3</x:v>
      </x:c>
      <x:c r="C287" s="25" t="str">
        <x:v>2026-06-21</x:v>
      </x:c>
      <x:c r="D287" s="9" t="str">
        <x:v>Cricket</x:v>
      </x:c>
      <x:c r="E287" s="9" t="str">
        <x:v>Cricket/T20I</x:v>
      </x:c>
      <x:c r="F287" s="10" t="str">
        <x:v>Bangladesh vs Australia</x:v>
      </x:c>
      <x:c r="G287" s="10" t="str">
        <x:v>Australia tour of Bangladesh 2026, 3rd T20I</x:v>
      </x:c>
      <x:c r="H287" s="10" t="str">
        <x:v>Bangladesh innings 168.5 and PP 50.5</x:v>
      </x:c>
      <x:c r="I287" s="9" t="n">
        <x:v>1</x:v>
      </x:c>
      <x:c r="J287" s="10" t="str">
        <x:v>Bangladesh first 6 overs Over 50.5</x:v>
      </x:c>
      <x:c r="K287" s="9" t="str">
        <x:v>Over 50.5</x:v>
      </x:c>
      <x:c r="L287" s="23" t="n">
        <x:v>0.58</x:v>
      </x:c>
      <x:c r="M287" s="9" t="str">
        <x:v>L</x:v>
      </x:c>
      <x:c r="N287" s="9" t="n">
        <x:f>IF(M287="W",1,IF(M287="L",0,""))</x:f>
        <x:v>0</x:v>
      </x:c>
      <x:c r="O287" s="24" t="n">
        <x:f>IF(OR(M287="W",M287="L"),(L287-N287)^2,"")</x:f>
        <x:v>0.3364</x:v>
      </x:c>
      <x:c r="P287" s="9" t="str">
        <x:v>YES</x:v>
      </x:c>
      <x:c r="Q287" s="9" t="str">
        <x:v>50-59</x:v>
      </x:c>
      <x:c r="R287" s="9" t="str">
        <x:v>NO</x:v>
      </x:c>
      <x:c r="S287" s="10" t="str">
        <x:v>ESPNcricinfo/Hindustan Times/ABC checked 2026-06-22</x:v>
      </x:c>
      <x:c r="T287" s="10" t="str">
        <x:f>IF(IFERROR(ISNUMBER(SEARCH("http",S287)),FALSE),"YES","NO")</x:f>
        <x:v>NO</x:v>
      </x:c>
      <x:c r="U287" s="10" t="str">
        <x:v>YES</x:v>
      </x:c>
      <x:c r="V287" s="10" t="str">
        <x:v>NO</x:v>
      </x:c>
      <x:c r="W287" s="10" t="str">
        <x:v>LEGACY_UNVERIFIED_SNAPSHOT: no immutable cutoff/model/source packet</x:v>
      </x:c>
      <x:c r="X287" s="10" t="str">
        <x:v>projection_error; rank_error; potential_post_event_input_text; exact_complement_selection</x:v>
      </x:c>
    </x:row>
    <x:row r="288">
      <x:c r="A288" s="9" t="n">
        <x:v>284</x:v>
      </x:c>
      <x:c r="B288" s="9" t="str">
        <x:v>CRIC-T20I-20260621-BAN-AUS3</x:v>
      </x:c>
      <x:c r="C288" s="25" t="str">
        <x:v>2026-06-21</x:v>
      </x:c>
      <x:c r="D288" s="9" t="str">
        <x:v>Cricket</x:v>
      </x:c>
      <x:c r="E288" s="9" t="str">
        <x:v>Cricket/T20I</x:v>
      </x:c>
      <x:c r="F288" s="10" t="str">
        <x:v>Bangladesh vs Australia</x:v>
      </x:c>
      <x:c r="G288" s="10" t="str">
        <x:v>Australia tour of Bangladesh 2026, 3rd T20I</x:v>
      </x:c>
      <x:c r="H288" s="10" t="str">
        <x:v>Bangladesh innings 168.5 and PP 50.5</x:v>
      </x:c>
      <x:c r="I288" s="9" t="n">
        <x:v>2</x:v>
      </x:c>
      <x:c r="J288" s="10" t="str">
        <x:v>Bangladesh 20 overs Over 168.5</x:v>
      </x:c>
      <x:c r="K288" s="9" t="str">
        <x:v>Over 168.5</x:v>
      </x:c>
      <x:c r="L288" s="23" t="n">
        <x:v>0.56</x:v>
      </x:c>
      <x:c r="M288" s="9" t="str">
        <x:v>L</x:v>
      </x:c>
      <x:c r="N288" s="9" t="n">
        <x:f>IF(M288="W",1,IF(M288="L",0,""))</x:f>
        <x:v>0</x:v>
      </x:c>
      <x:c r="O288" s="24" t="n">
        <x:f>IF(OR(M288="W",M288="L"),(L288-N288)^2,"")</x:f>
        <x:v>0.31360000000000005</x:v>
      </x:c>
      <x:c r="P288" s="9" t="str">
        <x:v>YES</x:v>
      </x:c>
      <x:c r="Q288" s="9" t="str">
        <x:v>50-59</x:v>
      </x:c>
      <x:c r="R288" s="9" t="str">
        <x:v>NO</x:v>
      </x:c>
      <x:c r="S288" s="10" t="str">
        <x:v>ESPNcricinfo/ABC checked 2026-06-22</x:v>
      </x:c>
      <x:c r="T288" s="10" t="str">
        <x:f>IF(IFERROR(ISNUMBER(SEARCH("http",S288)),FALSE),"YES","NO")</x:f>
        <x:v>NO</x:v>
      </x:c>
      <x:c r="U288" s="10" t="str">
        <x:v>YES</x:v>
      </x:c>
      <x:c r="V288" s="10" t="str">
        <x:v>NO</x:v>
      </x:c>
      <x:c r="W288" s="10" t="str">
        <x:v>LEGACY_UNVERIFIED_SNAPSHOT: no immutable cutoff/model/source packet</x:v>
      </x:c>
      <x:c r="X288" s="10" t="str">
        <x:v>projection_error; rank_error; potential_post_event_input_text; exact_complement_selection</x:v>
      </x:c>
    </x:row>
    <x:row r="289">
      <x:c r="A289" s="9" t="n">
        <x:v>285</x:v>
      </x:c>
      <x:c r="B289" s="9" t="str">
        <x:v>CRIC-T20I-20260621-BAN-AUS3</x:v>
      </x:c>
      <x:c r="C289" s="25" t="str">
        <x:v>2026-06-21</x:v>
      </x:c>
      <x:c r="D289" s="9" t="str">
        <x:v>Cricket</x:v>
      </x:c>
      <x:c r="E289" s="9" t="str">
        <x:v>Cricket/T20I</x:v>
      </x:c>
      <x:c r="F289" s="10" t="str">
        <x:v>Bangladesh vs Australia</x:v>
      </x:c>
      <x:c r="G289" s="10" t="str">
        <x:v>Australia tour of Bangladesh 2026, 3rd T20I</x:v>
      </x:c>
      <x:c r="H289" s="10" t="str">
        <x:v>Bangladesh innings 168.5 and PP 50.5</x:v>
      </x:c>
      <x:c r="I289" s="9" t="n">
        <x:v>3</x:v>
      </x:c>
      <x:c r="J289" s="10" t="str">
        <x:v>Bangladesh 20 overs Under 168.5</x:v>
      </x:c>
      <x:c r="K289" s="9" t="str">
        <x:v>Under 168.5</x:v>
      </x:c>
      <x:c r="L289" s="23" t="n">
        <x:v>0.44</x:v>
      </x:c>
      <x:c r="M289" s="9" t="str">
        <x:v>W</x:v>
      </x:c>
      <x:c r="N289" s="9" t="n">
        <x:f>IF(M289="W",1,IF(M289="L",0,""))</x:f>
        <x:v>1</x:v>
      </x:c>
      <x:c r="O289" s="24" t="n">
        <x:f>IF(OR(M289="W",M289="L"),(L289-N289)^2,"")</x:f>
        <x:v>0.31360000000000005</x:v>
      </x:c>
      <x:c r="P289" s="9" t="str">
        <x:v>YES</x:v>
      </x:c>
      <x:c r="Q289" s="9" t="str">
        <x:v>40-49</x:v>
      </x:c>
      <x:c r="R289" s="9" t="str">
        <x:v>NO</x:v>
      </x:c>
      <x:c r="S289" s="10" t="str">
        <x:v>ESPNcricinfo/ABC checked 2026-06-22</x:v>
      </x:c>
      <x:c r="T289" s="10" t="str">
        <x:f>IF(IFERROR(ISNUMBER(SEARCH("http",S289)),FALSE),"YES","NO")</x:f>
        <x:v>NO</x:v>
      </x:c>
      <x:c r="U289" s="10" t="str">
        <x:v>YES</x:v>
      </x:c>
      <x:c r="V289" s="10" t="str">
        <x:v>NO</x:v>
      </x:c>
      <x:c r="W289" s="10" t="str">
        <x:v>LEGACY_UNVERIFIED_SNAPSHOT: no immutable cutoff/model/source packet</x:v>
      </x:c>
      <x:c r="X289" s="10" t="str">
        <x:v>potential_post_event_input_text; exact_complement_selection</x:v>
      </x:c>
    </x:row>
    <x:row r="290">
      <x:c r="A290" s="9" t="n">
        <x:v>286</x:v>
      </x:c>
      <x:c r="B290" s="9" t="str">
        <x:v>CRIC-T20I-20260621-BAN-AUS3</x:v>
      </x:c>
      <x:c r="C290" s="25" t="str">
        <x:v>2026-06-21</x:v>
      </x:c>
      <x:c r="D290" s="9" t="str">
        <x:v>Cricket</x:v>
      </x:c>
      <x:c r="E290" s="9" t="str">
        <x:v>Cricket/T20I</x:v>
      </x:c>
      <x:c r="F290" s="10" t="str">
        <x:v>Bangladesh vs Australia</x:v>
      </x:c>
      <x:c r="G290" s="10" t="str">
        <x:v>Australia tour of Bangladesh 2026, 3rd T20I</x:v>
      </x:c>
      <x:c r="H290" s="10" t="str">
        <x:v>Bangladesh innings 168.5 and PP 50.5</x:v>
      </x:c>
      <x:c r="I290" s="9" t="n">
        <x:v>4</x:v>
      </x:c>
      <x:c r="J290" s="10" t="str">
        <x:v>Bangladesh first 6 overs Under 50.5</x:v>
      </x:c>
      <x:c r="K290" s="9" t="str">
        <x:v>Under 50.5</x:v>
      </x:c>
      <x:c r="L290" s="23" t="n">
        <x:v>0.42</x:v>
      </x:c>
      <x:c r="M290" s="9" t="str">
        <x:v>W</x:v>
      </x:c>
      <x:c r="N290" s="9" t="n">
        <x:f>IF(M290="W",1,IF(M290="L",0,""))</x:f>
        <x:v>1</x:v>
      </x:c>
      <x:c r="O290" s="24" t="n">
        <x:f>IF(OR(M290="W",M290="L"),(L290-N290)^2,"")</x:f>
        <x:v>0.3364000000000001</x:v>
      </x:c>
      <x:c r="P290" s="9" t="str">
        <x:v>YES</x:v>
      </x:c>
      <x:c r="Q290" s="9" t="str">
        <x:v>40-49</x:v>
      </x:c>
      <x:c r="R290" s="9" t="str">
        <x:v>NO</x:v>
      </x:c>
      <x:c r="S290" s="10" t="str">
        <x:v>ESPNcricinfo/Hindustan Times checked 2026-06-22</x:v>
      </x:c>
      <x:c r="T290" s="10" t="str">
        <x:f>IF(IFERROR(ISNUMBER(SEARCH("http",S290)),FALSE),"YES","NO")</x:f>
        <x:v>NO</x:v>
      </x:c>
      <x:c r="U290" s="10" t="str">
        <x:v>YES</x:v>
      </x:c>
      <x:c r="V290" s="10" t="str">
        <x:v>NO</x:v>
      </x:c>
      <x:c r="W290" s="10" t="str">
        <x:v>LEGACY_UNVERIFIED_SNAPSHOT: no immutable cutoff/model/source packet</x:v>
      </x:c>
      <x:c r="X290" s="10" t="str">
        <x:v>projection_error; rank_error; potential_post_event_input_text; exact_complement_selection</x:v>
      </x:c>
    </x:row>
    <x:row r="291">
      <x:c r="A291" s="9" t="n">
        <x:v>287</x:v>
      </x:c>
      <x:c r="B291" s="9" t="str">
        <x:v>KBO-20260621-KIA-KT</x:v>
      </x:c>
      <x:c r="C291" s="25" t="str">
        <x:v>2026-06-21</x:v>
      </x:c>
      <x:c r="D291" s="9" t="str">
        <x:v>Baseball</x:v>
      </x:c>
      <x:c r="E291" s="9" t="str">
        <x:v>KBO</x:v>
      </x:c>
      <x:c r="F291" s="10" t="str">
        <x:v>KIA Tigers @ KT Wiz</x:v>
      </x:c>
      <x:c r="G291" s="10" t="str">
        <x:v>KBO regular season</x:v>
      </x:c>
      <x:c r="H291" s="10" t="str">
        <x:v>Tigers +1.5, Wiz ML, total 10.5</x:v>
      </x:c>
      <x:c r="I291" s="9" t="n">
        <x:v>1</x:v>
      </x:c>
      <x:c r="J291" s="10" t="str">
        <x:v>Combined Total Over 10.5</x:v>
      </x:c>
      <x:c r="K291" s="9" t="str">
        <x:v>Over 10.5</x:v>
      </x:c>
      <x:c r="L291" s="23" t="n">
        <x:v>0.57</x:v>
      </x:c>
      <x:c r="M291" s="9" t="str">
        <x:v>W</x:v>
      </x:c>
      <x:c r="N291" s="9" t="n">
        <x:f>IF(M291="W",1,IF(M291="L",0,""))</x:f>
        <x:v>1</x:v>
      </x:c>
      <x:c r="O291" s="24" t="n">
        <x:f>IF(OR(M291="W",M291="L"),(L291-N291)^2,"")</x:f>
        <x:v>0.18490000000000004</x:v>
      </x:c>
      <x:c r="P291" s="9" t="str">
        <x:v>YES</x:v>
      </x:c>
      <x:c r="Q291" s="9" t="str">
        <x:v>50-59</x:v>
      </x:c>
      <x:c r="R291" s="9" t="str">
        <x:v>NO</x:v>
      </x:c>
      <x:c r="S291" s="10" t="str">
        <x:v>MyKBO final checked 2026-06-22</x:v>
      </x:c>
      <x:c r="T291" s="10" t="str">
        <x:f>IF(IFERROR(ISNUMBER(SEARCH("http",S291)),FALSE),"YES","NO")</x:f>
        <x:v>NO</x:v>
      </x:c>
      <x:c r="U291" s="10" t="str">
        <x:v>YES</x:v>
      </x:c>
      <x:c r="V291" s="10" t="str">
        <x:v>NO</x:v>
      </x:c>
      <x:c r="W291" s="10" t="str">
        <x:v>LEGACY_UNVERIFIED_SNAPSHOT: no immutable cutoff/model/source packet</x:v>
      </x:c>
      <x:c r="X291" s="10" t="str">
        <x:v>potential_post_event_input_text; exact_complement_selection</x:v>
      </x:c>
    </x:row>
    <x:row r="292">
      <x:c r="A292" s="9" t="n">
        <x:v>288</x:v>
      </x:c>
      <x:c r="B292" s="9" t="str">
        <x:v>KBO-20260621-KIA-KT</x:v>
      </x:c>
      <x:c r="C292" s="25" t="str">
        <x:v>2026-06-21</x:v>
      </x:c>
      <x:c r="D292" s="9" t="str">
        <x:v>Baseball</x:v>
      </x:c>
      <x:c r="E292" s="9" t="str">
        <x:v>KBO</x:v>
      </x:c>
      <x:c r="F292" s="10" t="str">
        <x:v>KIA Tigers @ KT Wiz</x:v>
      </x:c>
      <x:c r="G292" s="10" t="str">
        <x:v>KBO regular season</x:v>
      </x:c>
      <x:c r="H292" s="10" t="str">
        <x:v>Tigers +1.5, Wiz ML, total 10.5</x:v>
      </x:c>
      <x:c r="I292" s="9" t="n">
        <x:v>2</x:v>
      </x:c>
      <x:c r="J292" s="10" t="str">
        <x:v>KIA Tigers +1.5</x:v>
      </x:c>
      <x:c r="K292" s="9" t="str">
        <x:v>KIA +1.5</x:v>
      </x:c>
      <x:c r="L292" s="23" t="n">
        <x:v>0.56</x:v>
      </x:c>
      <x:c r="M292" s="9" t="str">
        <x:v>W</x:v>
      </x:c>
      <x:c r="N292" s="9" t="n">
        <x:f>IF(M292="W",1,IF(M292="L",0,""))</x:f>
        <x:v>1</x:v>
      </x:c>
      <x:c r="O292" s="24" t="n">
        <x:f>IF(OR(M292="W",M292="L"),(L292-N292)^2,"")</x:f>
        <x:v>0.19359999999999997</x:v>
      </x:c>
      <x:c r="P292" s="9" t="str">
        <x:v>NO</x:v>
      </x:c>
      <x:c r="Q292" s="9" t="str">
        <x:v>50-59</x:v>
      </x:c>
      <x:c r="R292" s="9" t="str">
        <x:v>NO</x:v>
      </x:c>
      <x:c r="S292" s="10" t="str">
        <x:v>MyKBO final checked 2026-06-22</x:v>
      </x:c>
      <x:c r="T292" s="10" t="str">
        <x:f>IF(IFERROR(ISNUMBER(SEARCH("http",S292)),FALSE),"YES","NO")</x:f>
        <x:v>NO</x:v>
      </x:c>
      <x:c r="U292" s="10" t="str">
        <x:v>YES</x:v>
      </x:c>
      <x:c r="V292" s="10" t="str">
        <x:v>NO</x:v>
      </x:c>
      <x:c r="W292" s="10" t="str">
        <x:v>LEGACY_UNVERIFIED_SNAPSHOT: no immutable cutoff/model/source packet</x:v>
      </x:c>
      <x:c r="X292" s="10" t="str">
        <x:v>potential_post_event_input_text</x:v>
      </x:c>
    </x:row>
    <x:row r="293">
      <x:c r="A293" s="9" t="n">
        <x:v>289</x:v>
      </x:c>
      <x:c r="B293" s="9" t="str">
        <x:v>KBO-20260621-KIA-KT</x:v>
      </x:c>
      <x:c r="C293" s="25" t="str">
        <x:v>2026-06-21</x:v>
      </x:c>
      <x:c r="D293" s="9" t="str">
        <x:v>Baseball</x:v>
      </x:c>
      <x:c r="E293" s="9" t="str">
        <x:v>KBO</x:v>
      </x:c>
      <x:c r="F293" s="10" t="str">
        <x:v>KIA Tigers @ KT Wiz</x:v>
      </x:c>
      <x:c r="G293" s="10" t="str">
        <x:v>KBO regular season</x:v>
      </x:c>
      <x:c r="H293" s="10" t="str">
        <x:v>Tigers +1.5, Wiz ML, total 10.5</x:v>
      </x:c>
      <x:c r="I293" s="9" t="n">
        <x:v>3</x:v>
      </x:c>
      <x:c r="J293" s="10" t="str">
        <x:v>KT Wiz ML</x:v>
      </x:c>
      <x:c r="K293" s="9" t="str">
        <x:v>KT ML</x:v>
      </x:c>
      <x:c r="L293" s="23" t="n">
        <x:v>0.55</x:v>
      </x:c>
      <x:c r="M293" s="9" t="str">
        <x:v>L</x:v>
      </x:c>
      <x:c r="N293" s="9" t="n">
        <x:f>IF(M293="W",1,IF(M293="L",0,""))</x:f>
        <x:v>0</x:v>
      </x:c>
      <x:c r="O293" s="24" t="n">
        <x:f>IF(OR(M293="W",M293="L"),(L293-N293)^2,"")</x:f>
        <x:v>0.30250000000000005</x:v>
      </x:c>
      <x:c r="P293" s="9" t="str">
        <x:v>NO</x:v>
      </x:c>
      <x:c r="Q293" s="9" t="str">
        <x:v>50-59</x:v>
      </x:c>
      <x:c r="R293" s="9" t="str">
        <x:v>NO</x:v>
      </x:c>
      <x:c r="S293" s="10" t="str">
        <x:v>MyKBO final checked 2026-06-22</x:v>
      </x:c>
      <x:c r="T293" s="10" t="str">
        <x:f>IF(IFERROR(ISNUMBER(SEARCH("http",S293)),FALSE),"YES","NO")</x:f>
        <x:v>NO</x:v>
      </x:c>
      <x:c r="U293" s="10" t="str">
        <x:v>YES</x:v>
      </x:c>
      <x:c r="V293" s="10" t="str">
        <x:v>NO</x:v>
      </x:c>
      <x:c r="W293" s="10" t="str">
        <x:v>LEGACY_UNVERIFIED_SNAPSHOT: no immutable cutoff/model/source packet</x:v>
      </x:c>
      <x:c r="X293" s="10" t="str">
        <x:v>projection_error; rank_error; potential_post_event_input_text</x:v>
      </x:c>
    </x:row>
    <x:row r="294">
      <x:c r="A294" s="9" t="n">
        <x:v>290</x:v>
      </x:c>
      <x:c r="B294" s="9" t="str">
        <x:v>KBO-20260621-KIA-KT</x:v>
      </x:c>
      <x:c r="C294" s="25" t="str">
        <x:v>2026-06-21</x:v>
      </x:c>
      <x:c r="D294" s="9" t="str">
        <x:v>Baseball</x:v>
      </x:c>
      <x:c r="E294" s="9" t="str">
        <x:v>KBO</x:v>
      </x:c>
      <x:c r="F294" s="10" t="str">
        <x:v>KIA Tigers @ KT Wiz</x:v>
      </x:c>
      <x:c r="G294" s="10" t="str">
        <x:v>KBO regular season</x:v>
      </x:c>
      <x:c r="H294" s="10" t="str">
        <x:v>Tigers +1.5, Wiz ML, total 10.5</x:v>
      </x:c>
      <x:c r="I294" s="9" t="n">
        <x:v>4</x:v>
      </x:c>
      <x:c r="J294" s="10" t="str">
        <x:v>Combined Total Under 10.5</x:v>
      </x:c>
      <x:c r="K294" s="9" t="str">
        <x:v>Under 10.5</x:v>
      </x:c>
      <x:c r="L294" s="23" t="n">
        <x:v>0.43</x:v>
      </x:c>
      <x:c r="M294" s="9" t="str">
        <x:v>L</x:v>
      </x:c>
      <x:c r="N294" s="9" t="n">
        <x:f>IF(M294="W",1,IF(M294="L",0,""))</x:f>
        <x:v>0</x:v>
      </x:c>
      <x:c r="O294" s="24" t="n">
        <x:f>IF(OR(M294="W",M294="L"),(L294-N294)^2,"")</x:f>
        <x:v>0.18489999999999998</x:v>
      </x:c>
      <x:c r="P294" s="9" t="str">
        <x:v>YES</x:v>
      </x:c>
      <x:c r="Q294" s="9" t="str">
        <x:v>40-49</x:v>
      </x:c>
      <x:c r="R294" s="9" t="str">
        <x:v>NO</x:v>
      </x:c>
      <x:c r="S294" s="10" t="str">
        <x:v>MyKBO final checked 2026-06-22</x:v>
      </x:c>
      <x:c r="T294" s="10" t="str">
        <x:f>IF(IFERROR(ISNUMBER(SEARCH("http",S294)),FALSE),"YES","NO")</x:f>
        <x:v>NO</x:v>
      </x:c>
      <x:c r="U294" s="10" t="str">
        <x:v>YES</x:v>
      </x:c>
      <x:c r="V294" s="10" t="str">
        <x:v>NO</x:v>
      </x:c>
      <x:c r="W294" s="10" t="str">
        <x:v>LEGACY_UNVERIFIED_SNAPSHOT: no immutable cutoff/model/source packet</x:v>
      </x:c>
      <x:c r="X294" s="10" t="str">
        <x:v>potential_post_event_input_text; exact_complement_selection</x:v>
      </x:c>
    </x:row>
    <x:row r="295">
      <x:c r="A295" s="9" t="n">
        <x:v>291</x:v>
      </x:c>
      <x:c r="B295" s="9" t="str">
        <x:v>CRIC-MLC-20260622-LAKR-SEA</x:v>
      </x:c>
      <x:c r="C295" s="25" t="str">
        <x:v>2026-06-22</x:v>
      </x:c>
      <x:c r="D295" s="9" t="str">
        <x:v>Cricket</x:v>
      </x:c>
      <x:c r="E295" s="9" t="str">
        <x:v>Cricket/MLC</x:v>
      </x:c>
      <x:c r="F295" s="10" t="str">
        <x:v>Los Angeles Knight Riders vs Seattle Orcas</x:v>
      </x:c>
      <x:c r="G295" s="10" t="str">
        <x:v>Major League Cricket 2026</x:v>
      </x:c>
      <x:c r="H295" s="10" t="str">
        <x:v>LAKR innings 203.5 and PP 63.5</x:v>
      </x:c>
      <x:c r="I295" s="9" t="n">
        <x:v>1</x:v>
      </x:c>
      <x:c r="J295" s="10" t="str">
        <x:v>LAKR first 6 overs Under 63.5</x:v>
      </x:c>
      <x:c r="K295" s="9" t="str">
        <x:v>Under 63.5</x:v>
      </x:c>
      <x:c r="L295" s="23" t="n">
        <x:v>0.55</x:v>
      </x:c>
      <x:c r="M295" s="9" t="str">
        <x:v>W</x:v>
      </x:c>
      <x:c r="N295" s="9" t="n">
        <x:f>IF(M295="W",1,IF(M295="L",0,""))</x:f>
        <x:v>1</x:v>
      </x:c>
      <x:c r="O295" s="24" t="n">
        <x:f>IF(OR(M295="W",M295="L"),(L295-N295)^2,"")</x:f>
        <x:v>0.20249999999999996</x:v>
      </x:c>
      <x:c r="P295" s="9" t="str">
        <x:v>YES</x:v>
      </x:c>
      <x:c r="Q295" s="9" t="str">
        <x:v>50-59</x:v>
      </x:c>
      <x:c r="R295" s="9" t="str">
        <x:v>NO</x:v>
      </x:c>
      <x:c r="S295" s="10" t="str">
        <x:v>Seattle official match centre checked 2026-06-22</x:v>
      </x:c>
      <x:c r="T295" s="10" t="str">
        <x:f>IF(IFERROR(ISNUMBER(SEARCH("http",S295)),FALSE),"YES","NO")</x:f>
        <x:v>NO</x:v>
      </x:c>
      <x:c r="U295" s="10" t="str">
        <x:v>YES</x:v>
      </x:c>
      <x:c r="V295" s="10" t="str">
        <x:v>NO</x:v>
      </x:c>
      <x:c r="W295" s="10" t="str">
        <x:v>LEGACY_UNVERIFIED_SNAPSHOT: no immutable cutoff/model/source packet</x:v>
      </x:c>
      <x:c r="X295" s="10" t="str">
        <x:v>potential_post_event_input_text; exact_complement_selection</x:v>
      </x:c>
    </x:row>
    <x:row r="296">
      <x:c r="A296" s="9" t="n">
        <x:v>292</x:v>
      </x:c>
      <x:c r="B296" s="9" t="str">
        <x:v>CRIC-MLC-20260622-LAKR-SEA</x:v>
      </x:c>
      <x:c r="C296" s="25" t="str">
        <x:v>2026-06-22</x:v>
      </x:c>
      <x:c r="D296" s="9" t="str">
        <x:v>Cricket</x:v>
      </x:c>
      <x:c r="E296" s="9" t="str">
        <x:v>Cricket/MLC</x:v>
      </x:c>
      <x:c r="F296" s="10" t="str">
        <x:v>Los Angeles Knight Riders vs Seattle Orcas</x:v>
      </x:c>
      <x:c r="G296" s="10" t="str">
        <x:v>Major League Cricket 2026</x:v>
      </x:c>
      <x:c r="H296" s="10" t="str">
        <x:v>LAKR innings 203.5 and PP 63.5</x:v>
      </x:c>
      <x:c r="I296" s="9" t="n">
        <x:v>2</x:v>
      </x:c>
      <x:c r="J296" s="10" t="str">
        <x:v>LAKR 20 overs Under 203.5</x:v>
      </x:c>
      <x:c r="K296" s="9" t="str">
        <x:v>Under 203.5</x:v>
      </x:c>
      <x:c r="L296" s="23" t="n">
        <x:v>0.52</x:v>
      </x:c>
      <x:c r="M296" s="9" t="str">
        <x:v>W</x:v>
      </x:c>
      <x:c r="N296" s="9" t="n">
        <x:f>IF(M296="W",1,IF(M296="L",0,""))</x:f>
        <x:v>1</x:v>
      </x:c>
      <x:c r="O296" s="24" t="n">
        <x:f>IF(OR(M296="W",M296="L"),(L296-N296)^2,"")</x:f>
        <x:v>0.2304</x:v>
      </x:c>
      <x:c r="P296" s="9" t="str">
        <x:v>YES</x:v>
      </x:c>
      <x:c r="Q296" s="9" t="str">
        <x:v>50-59</x:v>
      </x:c>
      <x:c r="R296" s="9" t="str">
        <x:v>NO</x:v>
      </x:c>
      <x:c r="S296" s="10" t="str">
        <x:v>Seattle official match centre checked 2026-06-22</x:v>
      </x:c>
      <x:c r="T296" s="10" t="str">
        <x:f>IF(IFERROR(ISNUMBER(SEARCH("http",S296)),FALSE),"YES","NO")</x:f>
        <x:v>NO</x:v>
      </x:c>
      <x:c r="U296" s="10" t="str">
        <x:v>YES</x:v>
      </x:c>
      <x:c r="V296" s="10" t="str">
        <x:v>NO</x:v>
      </x:c>
      <x:c r="W296" s="10" t="str">
        <x:v>LEGACY_UNVERIFIED_SNAPSHOT: no immutable cutoff/model/source packet</x:v>
      </x:c>
      <x:c r="X296" s="10" t="str">
        <x:v>potential_post_event_input_text; exact_complement_selection</x:v>
      </x:c>
    </x:row>
    <x:row r="297">
      <x:c r="A297" s="9" t="n">
        <x:v>293</x:v>
      </x:c>
      <x:c r="B297" s="9" t="str">
        <x:v>CRIC-MLC-20260622-LAKR-SEA</x:v>
      </x:c>
      <x:c r="C297" s="25" t="str">
        <x:v>2026-06-22</x:v>
      </x:c>
      <x:c r="D297" s="9" t="str">
        <x:v>Cricket</x:v>
      </x:c>
      <x:c r="E297" s="9" t="str">
        <x:v>Cricket/MLC</x:v>
      </x:c>
      <x:c r="F297" s="10" t="str">
        <x:v>Los Angeles Knight Riders vs Seattle Orcas</x:v>
      </x:c>
      <x:c r="G297" s="10" t="str">
        <x:v>Major League Cricket 2026</x:v>
      </x:c>
      <x:c r="H297" s="10" t="str">
        <x:v>LAKR innings 203.5 and PP 63.5</x:v>
      </x:c>
      <x:c r="I297" s="9" t="n">
        <x:v>3</x:v>
      </x:c>
      <x:c r="J297" s="10" t="str">
        <x:v>LAKR 20 overs Over 203.5</x:v>
      </x:c>
      <x:c r="K297" s="9" t="str">
        <x:v>Over 203.5</x:v>
      </x:c>
      <x:c r="L297" s="23" t="n">
        <x:v>0.48</x:v>
      </x:c>
      <x:c r="M297" s="9" t="str">
        <x:v>L</x:v>
      </x:c>
      <x:c r="N297" s="9" t="n">
        <x:f>IF(M297="W",1,IF(M297="L",0,""))</x:f>
        <x:v>0</x:v>
      </x:c>
      <x:c r="O297" s="24" t="n">
        <x:f>IF(OR(M297="W",M297="L"),(L297-N297)^2,"")</x:f>
        <x:v>0.2304</x:v>
      </x:c>
      <x:c r="P297" s="9" t="str">
        <x:v>YES</x:v>
      </x:c>
      <x:c r="Q297" s="9" t="str">
        <x:v>40-49</x:v>
      </x:c>
      <x:c r="R297" s="9" t="str">
        <x:v>NO</x:v>
      </x:c>
      <x:c r="S297" s="10" t="str">
        <x:v>Seattle official match centre checked 2026-06-22</x:v>
      </x:c>
      <x:c r="T297" s="10" t="str">
        <x:f>IF(IFERROR(ISNUMBER(SEARCH("http",S297)),FALSE),"YES","NO")</x:f>
        <x:v>NO</x:v>
      </x:c>
      <x:c r="U297" s="10" t="str">
        <x:v>YES</x:v>
      </x:c>
      <x:c r="V297" s="10" t="str">
        <x:v>NO</x:v>
      </x:c>
      <x:c r="W297" s="10" t="str">
        <x:v>LEGACY_UNVERIFIED_SNAPSHOT: no immutable cutoff/model/source packet</x:v>
      </x:c>
      <x:c r="X297" s="10" t="str">
        <x:v>potential_post_event_input_text; exact_complement_selection</x:v>
      </x:c>
    </x:row>
    <x:row r="298">
      <x:c r="A298" s="9" t="n">
        <x:v>294</x:v>
      </x:c>
      <x:c r="B298" s="9" t="str">
        <x:v>CRIC-MLC-20260622-LAKR-SEA</x:v>
      </x:c>
      <x:c r="C298" s="25" t="str">
        <x:v>2026-06-22</x:v>
      </x:c>
      <x:c r="D298" s="9" t="str">
        <x:v>Cricket</x:v>
      </x:c>
      <x:c r="E298" s="9" t="str">
        <x:v>Cricket/MLC</x:v>
      </x:c>
      <x:c r="F298" s="10" t="str">
        <x:v>Los Angeles Knight Riders vs Seattle Orcas</x:v>
      </x:c>
      <x:c r="G298" s="10" t="str">
        <x:v>Major League Cricket 2026</x:v>
      </x:c>
      <x:c r="H298" s="10" t="str">
        <x:v>LAKR innings 203.5 and PP 63.5</x:v>
      </x:c>
      <x:c r="I298" s="9" t="n">
        <x:v>4</x:v>
      </x:c>
      <x:c r="J298" s="10" t="str">
        <x:v>LAKR first 6 overs Over 63.5</x:v>
      </x:c>
      <x:c r="K298" s="9" t="str">
        <x:v>Over 63.5</x:v>
      </x:c>
      <x:c r="L298" s="23" t="n">
        <x:v>0.45</x:v>
      </x:c>
      <x:c r="M298" s="9" t="str">
        <x:v>L</x:v>
      </x:c>
      <x:c r="N298" s="9" t="n">
        <x:f>IF(M298="W",1,IF(M298="L",0,""))</x:f>
        <x:v>0</x:v>
      </x:c>
      <x:c r="O298" s="24" t="n">
        <x:f>IF(OR(M298="W",M298="L"),(L298-N298)^2,"")</x:f>
        <x:v>0.2025</x:v>
      </x:c>
      <x:c r="P298" s="9" t="str">
        <x:v>YES</x:v>
      </x:c>
      <x:c r="Q298" s="9" t="str">
        <x:v>40-49</x:v>
      </x:c>
      <x:c r="R298" s="9" t="str">
        <x:v>NO</x:v>
      </x:c>
      <x:c r="S298" s="10" t="str">
        <x:v>Seattle official match centre checked 2026-06-22</x:v>
      </x:c>
      <x:c r="T298" s="10" t="str">
        <x:f>IF(IFERROR(ISNUMBER(SEARCH("http",S298)),FALSE),"YES","NO")</x:f>
        <x:v>NO</x:v>
      </x:c>
      <x:c r="U298" s="10" t="str">
        <x:v>YES</x:v>
      </x:c>
      <x:c r="V298" s="10" t="str">
        <x:v>NO</x:v>
      </x:c>
      <x:c r="W298" s="10" t="str">
        <x:v>LEGACY_UNVERIFIED_SNAPSHOT: no immutable cutoff/model/source packet</x:v>
      </x:c>
      <x:c r="X298" s="10" t="str">
        <x:v>potential_post_event_input_text; exact_complement_selection</x:v>
      </x:c>
    </x:row>
    <x:row r="299">
      <x:c r="A299" s="9" t="n">
        <x:v>295</x:v>
      </x:c>
      <x:c r="B299" s="9" t="str">
        <x:v>WNBA-20260622-WAS-MIN</x:v>
      </x:c>
      <x:c r="C299" s="25" t="str">
        <x:v>2026-06-22</x:v>
      </x:c>
      <x:c r="D299" s="9" t="str">
        <x:v>Basketball</x:v>
      </x:c>
      <x:c r="E299" s="9" t="str">
        <x:v>WNBA</x:v>
      </x:c>
      <x:c r="F299" s="10" t="str">
        <x:v>Washington Mystics @ Minnesota Lynx</x:v>
      </x:c>
      <x:c r="G299" s="10" t="str">
        <x:v>WNBA regular season</x:v>
      </x:c>
      <x:c r="H299" s="10" t="str">
        <x:v>Mystics +14.5, Lynx -14.5, total 169.5, 1H 82.5</x:v>
      </x:c>
      <x:c r="I299" s="9" t="n">
        <x:v>1</x:v>
      </x:c>
      <x:c r="J299" s="10" t="str">
        <x:v>Combined 1H Total Over 82.5</x:v>
      </x:c>
      <x:c r="K299" s="9" t="str">
        <x:v>1H Over 82.5</x:v>
      </x:c>
      <x:c r="L299" s="23" t="n">
        <x:v>0.59</x:v>
      </x:c>
      <x:c r="M299" s="9" t="str">
        <x:v>L</x:v>
      </x:c>
      <x:c r="N299" s="9" t="n">
        <x:f>IF(M299="W",1,IF(M299="L",0,""))</x:f>
        <x:v>0</x:v>
      </x:c>
      <x:c r="O299" s="24" t="n">
        <x:f>IF(OR(M299="W",M299="L"),(L299-N299)^2,"")</x:f>
        <x:v>0.34809999999999997</x:v>
      </x:c>
      <x:c r="P299" s="9" t="str">
        <x:v>YES</x:v>
      </x:c>
      <x:c r="Q299" s="9" t="str">
        <x:v>50-59</x:v>
      </x:c>
      <x:c r="R299" s="9" t="str">
        <x:v>NO</x:v>
      </x:c>
      <x:c r="S299" s="10" t="str">
        <x:v>ESPN final checked 2026-06-22</x:v>
      </x:c>
      <x:c r="T299" s="10" t="str">
        <x:f>IF(IFERROR(ISNUMBER(SEARCH("http",S299)),FALSE),"YES","NO")</x:f>
        <x:v>NO</x:v>
      </x:c>
      <x:c r="U299" s="10" t="str">
        <x:v>YES</x:v>
      </x:c>
      <x:c r="V299" s="10" t="str">
        <x:v>NO</x:v>
      </x:c>
      <x:c r="W299" s="10" t="str">
        <x:v>LEGACY_UNVERIFIED_SNAPSHOT: no immutable cutoff/model/source packet</x:v>
      </x:c>
      <x:c r="X299" s="10" t="str">
        <x:v>projection_error; rank_error; potential_post_event_input_text; exact_complement_selection</x:v>
      </x:c>
    </x:row>
    <x:row r="300">
      <x:c r="A300" s="9" t="n">
        <x:v>296</x:v>
      </x:c>
      <x:c r="B300" s="9" t="str">
        <x:v>WNBA-20260622-WAS-MIN</x:v>
      </x:c>
      <x:c r="C300" s="25" t="str">
        <x:v>2026-06-22</x:v>
      </x:c>
      <x:c r="D300" s="9" t="str">
        <x:v>Basketball</x:v>
      </x:c>
      <x:c r="E300" s="9" t="str">
        <x:v>WNBA</x:v>
      </x:c>
      <x:c r="F300" s="10" t="str">
        <x:v>Washington Mystics @ Minnesota Lynx</x:v>
      </x:c>
      <x:c r="G300" s="10" t="str">
        <x:v>WNBA regular season</x:v>
      </x:c>
      <x:c r="H300" s="10" t="str">
        <x:v>Mystics +14.5, Lynx -14.5, total 169.5, 1H 82.5</x:v>
      </x:c>
      <x:c r="I300" s="9" t="n">
        <x:v>2</x:v>
      </x:c>
      <x:c r="J300" s="10" t="str">
        <x:v>Combined Total Over 169.5</x:v>
      </x:c>
      <x:c r="K300" s="9" t="str">
        <x:v>Over 169.5</x:v>
      </x:c>
      <x:c r="L300" s="23" t="n">
        <x:v>0.55</x:v>
      </x:c>
      <x:c r="M300" s="9" t="str">
        <x:v>L</x:v>
      </x:c>
      <x:c r="N300" s="9" t="n">
        <x:f>IF(M300="W",1,IF(M300="L",0,""))</x:f>
        <x:v>0</x:v>
      </x:c>
      <x:c r="O300" s="24" t="n">
        <x:f>IF(OR(M300="W",M300="L"),(L300-N300)^2,"")</x:f>
        <x:v>0.30250000000000005</x:v>
      </x:c>
      <x:c r="P300" s="9" t="str">
        <x:v>YES</x:v>
      </x:c>
      <x:c r="Q300" s="9" t="str">
        <x:v>50-59</x:v>
      </x:c>
      <x:c r="R300" s="9" t="str">
        <x:v>NO</x:v>
      </x:c>
      <x:c r="S300" s="10" t="str">
        <x:v>ESPN final checked 2026-06-22</x:v>
      </x:c>
      <x:c r="T300" s="10" t="str">
        <x:f>IF(IFERROR(ISNUMBER(SEARCH("http",S300)),FALSE),"YES","NO")</x:f>
        <x:v>NO</x:v>
      </x:c>
      <x:c r="U300" s="10" t="str">
        <x:v>YES</x:v>
      </x:c>
      <x:c r="V300" s="10" t="str">
        <x:v>NO</x:v>
      </x:c>
      <x:c r="W300" s="10" t="str">
        <x:v>LEGACY_UNVERIFIED_SNAPSHOT: no immutable cutoff/model/source packet</x:v>
      </x:c>
      <x:c r="X300" s="10" t="str">
        <x:v>projection_error; rank_error; potential_post_event_input_text; exact_complement_selection</x:v>
      </x:c>
    </x:row>
    <x:row r="301">
      <x:c r="A301" s="9" t="n">
        <x:v>297</x:v>
      </x:c>
      <x:c r="B301" s="9" t="str">
        <x:v>WNBA-20260622-WAS-MIN</x:v>
      </x:c>
      <x:c r="C301" s="25" t="str">
        <x:v>2026-06-22</x:v>
      </x:c>
      <x:c r="D301" s="9" t="str">
        <x:v>Basketball</x:v>
      </x:c>
      <x:c r="E301" s="9" t="str">
        <x:v>WNBA</x:v>
      </x:c>
      <x:c r="F301" s="10" t="str">
        <x:v>Washington Mystics @ Minnesota Lynx</x:v>
      </x:c>
      <x:c r="G301" s="10" t="str">
        <x:v>WNBA regular season</x:v>
      </x:c>
      <x:c r="H301" s="10" t="str">
        <x:v>Mystics +14.5, Lynx -14.5, total 169.5, 1H 82.5</x:v>
      </x:c>
      <x:c r="I301" s="9" t="n">
        <x:v>3</x:v>
      </x:c>
      <x:c r="J301" s="10" t="str">
        <x:v>Lynx -14.5</x:v>
      </x:c>
      <x:c r="K301" s="9" t="str">
        <x:v>Lynx -14.5</x:v>
      </x:c>
      <x:c r="L301" s="23" t="n">
        <x:v>0.51</x:v>
      </x:c>
      <x:c r="M301" s="9" t="str">
        <x:v>L</x:v>
      </x:c>
      <x:c r="N301" s="9" t="n">
        <x:f>IF(M301="W",1,IF(M301="L",0,""))</x:f>
        <x:v>0</x:v>
      </x:c>
      <x:c r="O301" s="24" t="n">
        <x:f>IF(OR(M301="W",M301="L"),(L301-N301)^2,"")</x:f>
        <x:v>0.2601</x:v>
      </x:c>
      <x:c r="P301" s="9" t="str">
        <x:v>YES</x:v>
      </x:c>
      <x:c r="Q301" s="9" t="str">
        <x:v>50-59</x:v>
      </x:c>
      <x:c r="R301" s="9" t="str">
        <x:v>NO</x:v>
      </x:c>
      <x:c r="S301" s="10" t="str">
        <x:v>ESPN final checked 2026-06-22</x:v>
      </x:c>
      <x:c r="T301" s="10" t="str">
        <x:f>IF(IFERROR(ISNUMBER(SEARCH("http",S301)),FALSE),"YES","NO")</x:f>
        <x:v>NO</x:v>
      </x:c>
      <x:c r="U301" s="10" t="str">
        <x:v>YES</x:v>
      </x:c>
      <x:c r="V301" s="10" t="str">
        <x:v>NO</x:v>
      </x:c>
      <x:c r="W301" s="10" t="str">
        <x:v>LEGACY_UNVERIFIED_SNAPSHOT: no immutable cutoff/model/source packet</x:v>
      </x:c>
      <x:c r="X301" s="10" t="str">
        <x:v>projection_error; rank_error; potential_post_event_input_text; exact_complement_selection</x:v>
      </x:c>
    </x:row>
    <x:row r="302">
      <x:c r="A302" s="9" t="n">
        <x:v>298</x:v>
      </x:c>
      <x:c r="B302" s="9" t="str">
        <x:v>WNBA-20260622-WAS-MIN</x:v>
      </x:c>
      <x:c r="C302" s="25" t="str">
        <x:v>2026-06-22</x:v>
      </x:c>
      <x:c r="D302" s="9" t="str">
        <x:v>Basketball</x:v>
      </x:c>
      <x:c r="E302" s="9" t="str">
        <x:v>WNBA</x:v>
      </x:c>
      <x:c r="F302" s="10" t="str">
        <x:v>Washington Mystics @ Minnesota Lynx</x:v>
      </x:c>
      <x:c r="G302" s="10" t="str">
        <x:v>WNBA regular season</x:v>
      </x:c>
      <x:c r="H302" s="10" t="str">
        <x:v>Mystics +14.5, Lynx -14.5, total 169.5, 1H 82.5</x:v>
      </x:c>
      <x:c r="I302" s="9" t="n">
        <x:v>4</x:v>
      </x:c>
      <x:c r="J302" s="10" t="str">
        <x:v>Mystics +14.5</x:v>
      </x:c>
      <x:c r="K302" s="9" t="str">
        <x:v>Mystics +14.5</x:v>
      </x:c>
      <x:c r="L302" s="23" t="n">
        <x:v>0.49</x:v>
      </x:c>
      <x:c r="M302" s="9" t="str">
        <x:v>W</x:v>
      </x:c>
      <x:c r="N302" s="9" t="n">
        <x:f>IF(M302="W",1,IF(M302="L",0,""))</x:f>
        <x:v>1</x:v>
      </x:c>
      <x:c r="O302" s="24" t="n">
        <x:f>IF(OR(M302="W",M302="L"),(L302-N302)^2,"")</x:f>
        <x:v>0.2601</x:v>
      </x:c>
      <x:c r="P302" s="9" t="str">
        <x:v>YES</x:v>
      </x:c>
      <x:c r="Q302" s="9" t="str">
        <x:v>40-49</x:v>
      </x:c>
      <x:c r="R302" s="9" t="str">
        <x:v>NO</x:v>
      </x:c>
      <x:c r="S302" s="10" t="str">
        <x:v>ESPN final checked 2026-06-22</x:v>
      </x:c>
      <x:c r="T302" s="10" t="str">
        <x:f>IF(IFERROR(ISNUMBER(SEARCH("http",S302)),FALSE),"YES","NO")</x:f>
        <x:v>NO</x:v>
      </x:c>
      <x:c r="U302" s="10" t="str">
        <x:v>YES</x:v>
      </x:c>
      <x:c r="V302" s="10" t="str">
        <x:v>NO</x:v>
      </x:c>
      <x:c r="W302" s="10" t="str">
        <x:v>LEGACY_UNVERIFIED_SNAPSHOT: no immutable cutoff/model/source packet</x:v>
      </x:c>
      <x:c r="X302" s="10" t="str">
        <x:v>projection_error; rank_error; potential_post_event_input_text; exact_complement_selection</x:v>
      </x:c>
    </x:row>
    <x:row r="303">
      <x:c r="A303" s="9" t="n">
        <x:v>299</x:v>
      </x:c>
      <x:c r="B303" s="9" t="str">
        <x:v>WNBA-20260622-WAS-MIN</x:v>
      </x:c>
      <x:c r="C303" s="25" t="str">
        <x:v>2026-06-22</x:v>
      </x:c>
      <x:c r="D303" s="9" t="str">
        <x:v>Basketball</x:v>
      </x:c>
      <x:c r="E303" s="9" t="str">
        <x:v>WNBA</x:v>
      </x:c>
      <x:c r="F303" s="10" t="str">
        <x:v>Washington Mystics @ Minnesota Lynx</x:v>
      </x:c>
      <x:c r="G303" s="10" t="str">
        <x:v>WNBA regular season</x:v>
      </x:c>
      <x:c r="H303" s="10" t="str">
        <x:v>Mystics +14.5, Lynx -14.5, total 169.5, 1H 82.5</x:v>
      </x:c>
      <x:c r="I303" s="9" t="n">
        <x:v>5</x:v>
      </x:c>
      <x:c r="J303" s="10" t="str">
        <x:v>Combined Total Under 169.5</x:v>
      </x:c>
      <x:c r="K303" s="9" t="str">
        <x:v>Under 169.5</x:v>
      </x:c>
      <x:c r="L303" s="23" t="n">
        <x:v>0.45</x:v>
      </x:c>
      <x:c r="M303" s="9" t="str">
        <x:v>W</x:v>
      </x:c>
      <x:c r="N303" s="9" t="n">
        <x:f>IF(M303="W",1,IF(M303="L",0,""))</x:f>
        <x:v>1</x:v>
      </x:c>
      <x:c r="O303" s="24" t="n">
        <x:f>IF(OR(M303="W",M303="L"),(L303-N303)^2,"")</x:f>
        <x:v>0.30250000000000005</x:v>
      </x:c>
      <x:c r="P303" s="9" t="str">
        <x:v>YES</x:v>
      </x:c>
      <x:c r="Q303" s="9" t="str">
        <x:v>40-49</x:v>
      </x:c>
      <x:c r="R303" s="9" t="str">
        <x:v>NO</x:v>
      </x:c>
      <x:c r="S303" s="10" t="str">
        <x:v>ESPN final checked 2026-06-22</x:v>
      </x:c>
      <x:c r="T303" s="10" t="str">
        <x:f>IF(IFERROR(ISNUMBER(SEARCH("http",S303)),FALSE),"YES","NO")</x:f>
        <x:v>NO</x:v>
      </x:c>
      <x:c r="U303" s="10" t="str">
        <x:v>YES</x:v>
      </x:c>
      <x:c r="V303" s="10" t="str">
        <x:v>NO</x:v>
      </x:c>
      <x:c r="W303" s="10" t="str">
        <x:v>LEGACY_UNVERIFIED_SNAPSHOT: no immutable cutoff/model/source packet</x:v>
      </x:c>
      <x:c r="X303" s="10" t="str">
        <x:v>projection_error; rank_error; potential_post_event_input_text; exact_complement_selection</x:v>
      </x:c>
    </x:row>
    <x:row r="304">
      <x:c r="A304" s="9" t="n">
        <x:v>300</x:v>
      </x:c>
      <x:c r="B304" s="9" t="str">
        <x:v>WNBA-20260622-WAS-MIN</x:v>
      </x:c>
      <x:c r="C304" s="25" t="str">
        <x:v>2026-06-22</x:v>
      </x:c>
      <x:c r="D304" s="9" t="str">
        <x:v>Basketball</x:v>
      </x:c>
      <x:c r="E304" s="9" t="str">
        <x:v>WNBA</x:v>
      </x:c>
      <x:c r="F304" s="10" t="str">
        <x:v>Washington Mystics @ Minnesota Lynx</x:v>
      </x:c>
      <x:c r="G304" s="10" t="str">
        <x:v>WNBA regular season</x:v>
      </x:c>
      <x:c r="H304" s="10" t="str">
        <x:v>Mystics +14.5, Lynx -14.5, total 169.5, 1H 82.5</x:v>
      </x:c>
      <x:c r="I304" s="9" t="n">
        <x:v>6</x:v>
      </x:c>
      <x:c r="J304" s="10" t="str">
        <x:v>Combined 1H Total Under 82.5</x:v>
      </x:c>
      <x:c r="K304" s="9" t="str">
        <x:v>1H Under 82.5</x:v>
      </x:c>
      <x:c r="L304" s="23" t="n">
        <x:v>0.41</x:v>
      </x:c>
      <x:c r="M304" s="9" t="str">
        <x:v>W</x:v>
      </x:c>
      <x:c r="N304" s="9" t="n">
        <x:f>IF(M304="W",1,IF(M304="L",0,""))</x:f>
        <x:v>1</x:v>
      </x:c>
      <x:c r="O304" s="24" t="n">
        <x:f>IF(OR(M304="W",M304="L"),(L304-N304)^2,"")</x:f>
        <x:v>0.3481000000000001</x:v>
      </x:c>
      <x:c r="P304" s="9" t="str">
        <x:v>YES</x:v>
      </x:c>
      <x:c r="Q304" s="9" t="str">
        <x:v>40-49</x:v>
      </x:c>
      <x:c r="R304" s="9" t="str">
        <x:v>NO</x:v>
      </x:c>
      <x:c r="S304" s="10" t="str">
        <x:v>ESPN final checked 2026-06-22</x:v>
      </x:c>
      <x:c r="T304" s="10" t="str">
        <x:f>IF(IFERROR(ISNUMBER(SEARCH("http",S304)),FALSE),"YES","NO")</x:f>
        <x:v>NO</x:v>
      </x:c>
      <x:c r="U304" s="10" t="str">
        <x:v>YES</x:v>
      </x:c>
      <x:c r="V304" s="10" t="str">
        <x:v>NO</x:v>
      </x:c>
      <x:c r="W304" s="10" t="str">
        <x:v>LEGACY_UNVERIFIED_SNAPSHOT: no immutable cutoff/model/source packet</x:v>
      </x:c>
      <x:c r="X304" s="10" t="str">
        <x:v>projection_error; rank_error; potential_post_event_input_text; exact_complement_selection</x:v>
      </x:c>
    </x:row>
    <x:row r="305">
      <x:c r="A305" s="9" t="n">
        <x:v>301</x:v>
      </x:c>
      <x:c r="B305" s="9" t="str">
        <x:v>MLB-20260622-NYM-PHI</x:v>
      </x:c>
      <x:c r="C305" s="25" t="str">
        <x:v>2026-06-22</x:v>
      </x:c>
      <x:c r="D305" s="9" t="str">
        <x:v>Baseball</x:v>
      </x:c>
      <x:c r="E305" s="9" t="str">
        <x:v>MLB</x:v>
      </x:c>
      <x:c r="F305" s="10" t="str">
        <x:v>New York Mets @ Philadelphia Phillies</x:v>
      </x:c>
      <x:c r="G305" s="10" t="str">
        <x:v>MLB regular season</x:v>
      </x:c>
      <x:c r="H305" s="10" t="str">
        <x:v>Mets +1.5, Phillies ML, total 8.0</x:v>
      </x:c>
      <x:c r="I305" s="9" t="n">
        <x:v>1</x:v>
      </x:c>
      <x:c r="J305" s="10" t="str">
        <x:v>Phillies ML</x:v>
      </x:c>
      <x:c r="K305" s="9" t="str">
        <x:v>Phillies ML</x:v>
      </x:c>
      <x:c r="L305" s="23" t="n">
        <x:v>0.64</x:v>
      </x:c>
      <x:c r="M305" s="9" t="str">
        <x:v>W</x:v>
      </x:c>
      <x:c r="N305" s="9" t="n">
        <x:f>IF(M305="W",1,IF(M305="L",0,""))</x:f>
        <x:v>1</x:v>
      </x:c>
      <x:c r="O305" s="24" t="n">
        <x:f>IF(OR(M305="W",M305="L"),(L305-N305)^2,"")</x:f>
        <x:v>0.1296</x:v>
      </x:c>
      <x:c r="P305" s="9" t="str">
        <x:v>NO</x:v>
      </x:c>
      <x:c r="Q305" s="9" t="str">
        <x:v>60-69</x:v>
      </x:c>
      <x:c r="R305" s="9" t="str">
        <x:v>NO</x:v>
      </x:c>
      <x:c r="S305" s="10" t="str">
        <x:v>MLB StatsAPI final checked 2026-06-22</x:v>
      </x:c>
      <x:c r="T305" s="10" t="str">
        <x:f>IF(IFERROR(ISNUMBER(SEARCH("http",S305)),FALSE),"YES","NO")</x:f>
        <x:v>NO</x:v>
      </x:c>
      <x:c r="U305" s="10" t="str">
        <x:v>YES</x:v>
      </x:c>
      <x:c r="V305" s="10" t="str">
        <x:v>NO</x:v>
      </x:c>
      <x:c r="W305" s="10" t="str">
        <x:v>LEGACY_UNVERIFIED_SNAPSHOT: no immutable cutoff/model/source packet</x:v>
      </x:c>
      <x:c r="X305" s="10" t="str">
        <x:v>potential_post_event_input_text</x:v>
      </x:c>
    </x:row>
    <x:row r="306">
      <x:c r="A306" s="9" t="n">
        <x:v>302</x:v>
      </x:c>
      <x:c r="B306" s="9" t="str">
        <x:v>MLB-20260622-NYM-PHI</x:v>
      </x:c>
      <x:c r="C306" s="25" t="str">
        <x:v>2026-06-22</x:v>
      </x:c>
      <x:c r="D306" s="9" t="str">
        <x:v>Baseball</x:v>
      </x:c>
      <x:c r="E306" s="9" t="str">
        <x:v>MLB</x:v>
      </x:c>
      <x:c r="F306" s="10" t="str">
        <x:v>New York Mets @ Philadelphia Phillies</x:v>
      </x:c>
      <x:c r="G306" s="10" t="str">
        <x:v>MLB regular season</x:v>
      </x:c>
      <x:c r="H306" s="10" t="str">
        <x:v>Mets +1.5, Phillies ML, total 8.0</x:v>
      </x:c>
      <x:c r="I306" s="9" t="n">
        <x:v>2</x:v>
      </x:c>
      <x:c r="J306" s="10" t="str">
        <x:v>Combined Total Over 8.0</x:v>
      </x:c>
      <x:c r="K306" s="9" t="str">
        <x:v>Over 8.0</x:v>
      </x:c>
      <x:c r="L306" s="23" t="n">
        <x:v>0.56</x:v>
      </x:c>
      <x:c r="M306" s="9" t="str">
        <x:v>P</x:v>
      </x:c>
      <x:c r="N306" s="9" t="str">
        <x:f>IF(M306="W",1,IF(M306="L",0,""))</x:f>
      </x:c>
      <x:c r="O306" s="24" t="str">
        <x:f>IF(OR(M306="W",M306="L"),(L306-N306)^2,"")</x:f>
      </x:c>
      <x:c r="P306" s="9" t="str">
        <x:v>YES</x:v>
      </x:c>
      <x:c r="Q306" s="9" t="str">
        <x:v>50-59</x:v>
      </x:c>
      <x:c r="R306" s="9" t="str">
        <x:v>NO</x:v>
      </x:c>
      <x:c r="S306" s="10" t="str">
        <x:v>MLB StatsAPI final checked 2026-06-22</x:v>
      </x:c>
      <x:c r="T306" s="10" t="str">
        <x:f>IF(IFERROR(ISNUMBER(SEARCH("http",S306)),FALSE),"YES","NO")</x:f>
        <x:v>NO</x:v>
      </x:c>
      <x:c r="U306" s="10" t="str">
        <x:v>YES</x:v>
      </x:c>
      <x:c r="V306" s="10" t="str">
        <x:v>NO</x:v>
      </x:c>
      <x:c r="W306" s="10" t="str">
        <x:v>LEGACY_UNVERIFIED_SNAPSHOT: no immutable cutoff/model/source packet</x:v>
      </x:c>
      <x:c r="X306" s="10" t="str">
        <x:v>potential_post_event_input_text; exact_complement_selection</x:v>
      </x:c>
    </x:row>
    <x:row r="307">
      <x:c r="A307" s="9" t="n">
        <x:v>303</x:v>
      </x:c>
      <x:c r="B307" s="9" t="str">
        <x:v>MLB-20260622-NYM-PHI</x:v>
      </x:c>
      <x:c r="C307" s="25" t="str">
        <x:v>2026-06-22</x:v>
      </x:c>
      <x:c r="D307" s="9" t="str">
        <x:v>Baseball</x:v>
      </x:c>
      <x:c r="E307" s="9" t="str">
        <x:v>MLB</x:v>
      </x:c>
      <x:c r="F307" s="10" t="str">
        <x:v>New York Mets @ Philadelphia Phillies</x:v>
      </x:c>
      <x:c r="G307" s="10" t="str">
        <x:v>MLB regular season</x:v>
      </x:c>
      <x:c r="H307" s="10" t="str">
        <x:v>Mets +1.5, Phillies ML, total 8.0</x:v>
      </x:c>
      <x:c r="I307" s="9" t="n">
        <x:v>3</x:v>
      </x:c>
      <x:c r="J307" s="10" t="str">
        <x:v>Combined Total Under 8.0</x:v>
      </x:c>
      <x:c r="K307" s="9" t="str">
        <x:v>Under 8.0</x:v>
      </x:c>
      <x:c r="L307" s="23" t="n">
        <x:v>0.43</x:v>
      </x:c>
      <x:c r="M307" s="9" t="str">
        <x:v>P</x:v>
      </x:c>
      <x:c r="N307" s="9" t="str">
        <x:f>IF(M307="W",1,IF(M307="L",0,""))</x:f>
      </x:c>
      <x:c r="O307" s="24" t="str">
        <x:f>IF(OR(M307="W",M307="L"),(L307-N307)^2,"")</x:f>
      </x:c>
      <x:c r="P307" s="9" t="str">
        <x:v>YES</x:v>
      </x:c>
      <x:c r="Q307" s="9" t="str">
        <x:v>40-49</x:v>
      </x:c>
      <x:c r="R307" s="9" t="str">
        <x:v>NO</x:v>
      </x:c>
      <x:c r="S307" s="10" t="str">
        <x:v>MLB StatsAPI final checked 2026-06-22</x:v>
      </x:c>
      <x:c r="T307" s="10" t="str">
        <x:f>IF(IFERROR(ISNUMBER(SEARCH("http",S307)),FALSE),"YES","NO")</x:f>
        <x:v>NO</x:v>
      </x:c>
      <x:c r="U307" s="10" t="str">
        <x:v>YES</x:v>
      </x:c>
      <x:c r="V307" s="10" t="str">
        <x:v>NO</x:v>
      </x:c>
      <x:c r="W307" s="10" t="str">
        <x:v>LEGACY_UNVERIFIED_SNAPSHOT: no immutable cutoff/model/source packet</x:v>
      </x:c>
      <x:c r="X307" s="10" t="str">
        <x:v>potential_post_event_input_text; exact_complement_selection</x:v>
      </x:c>
    </x:row>
    <x:row r="308">
      <x:c r="A308" s="9" t="n">
        <x:v>304</x:v>
      </x:c>
      <x:c r="B308" s="9" t="str">
        <x:v>MLB-20260622-NYM-PHI</x:v>
      </x:c>
      <x:c r="C308" s="25" t="str">
        <x:v>2026-06-22</x:v>
      </x:c>
      <x:c r="D308" s="9" t="str">
        <x:v>Baseball</x:v>
      </x:c>
      <x:c r="E308" s="9" t="str">
        <x:v>MLB</x:v>
      </x:c>
      <x:c r="F308" s="10" t="str">
        <x:v>New York Mets @ Philadelphia Phillies</x:v>
      </x:c>
      <x:c r="G308" s="10" t="str">
        <x:v>MLB regular season</x:v>
      </x:c>
      <x:c r="H308" s="10" t="str">
        <x:v>Mets +1.5, Phillies ML, total 8.0</x:v>
      </x:c>
      <x:c r="I308" s="9" t="n">
        <x:v>4</x:v>
      </x:c>
      <x:c r="J308" s="10" t="str">
        <x:v>Mets +1.5</x:v>
      </x:c>
      <x:c r="K308" s="9" t="str">
        <x:v>Mets +1.5</x:v>
      </x:c>
      <x:c r="L308" s="23" t="n">
        <x:v>0.41</x:v>
      </x:c>
      <x:c r="M308" s="9" t="str">
        <x:v>L</x:v>
      </x:c>
      <x:c r="N308" s="9" t="n">
        <x:f>IF(M308="W",1,IF(M308="L",0,""))</x:f>
        <x:v>0</x:v>
      </x:c>
      <x:c r="O308" s="24" t="n">
        <x:f>IF(OR(M308="W",M308="L"),(L308-N308)^2,"")</x:f>
        <x:v>0.16809999999999997</x:v>
      </x:c>
      <x:c r="P308" s="9" t="str">
        <x:v>NO</x:v>
      </x:c>
      <x:c r="Q308" s="9" t="str">
        <x:v>40-49</x:v>
      </x:c>
      <x:c r="R308" s="9" t="str">
        <x:v>NO</x:v>
      </x:c>
      <x:c r="S308" s="10" t="str">
        <x:v>MLB StatsAPI final checked 2026-06-22</x:v>
      </x:c>
      <x:c r="T308" s="10" t="str">
        <x:f>IF(IFERROR(ISNUMBER(SEARCH("http",S308)),FALSE),"YES","NO")</x:f>
        <x:v>NO</x:v>
      </x:c>
      <x:c r="U308" s="10" t="str">
        <x:v>YES</x:v>
      </x:c>
      <x:c r="V308" s="10" t="str">
        <x:v>NO</x:v>
      </x:c>
      <x:c r="W308" s="10" t="str">
        <x:v>LEGACY_UNVERIFIED_SNAPSHOT: no immutable cutoff/model/source packet</x:v>
      </x:c>
      <x:c r="X308" s="10" t="str">
        <x:v>potential_post_event_input_text</x:v>
      </x:c>
    </x:row>
    <x:row r="309">
      <x:c r="A309" s="9" t="n">
        <x:v>305</x:v>
      </x:c>
      <x:c r="B309" s="9" t="str">
        <x:v>BASK-ISR-20260623-GAL-NET</x:v>
      </x:c>
      <x:c r="C309" s="25" t="str">
        <x:v>2026-06-23</x:v>
      </x:c>
      <x:c r="D309" s="9" t="str">
        <x:v>Basketball</x:v>
      </x:c>
      <x:c r="E309" s="9" t="str">
        <x:v>Basketball/Israel Winner League</x:v>
      </x:c>
      <x:c r="F309" s="10" t="str">
        <x:v>Hapoel Galil Elyon vs Elitzur Netanya</x:v>
      </x:c>
      <x:c r="G309" s="10" t="str">
        <x:v>Winner League Round 32</x:v>
      </x:c>
      <x:c r="H309" s="10" t="str">
        <x:v>Spread, full total, 1H total</x:v>
      </x:c>
      <x:c r="I309" s="9" t="n">
        <x:v>1</x:v>
      </x:c>
      <x:c r="J309" s="10" t="str">
        <x:v>Combined Total Under 173.5</x:v>
      </x:c>
      <x:c r="K309" s="9" t="str">
        <x:v>Under 173.5</x:v>
      </x:c>
      <x:c r="L309" s="23" t="n">
        <x:v>0.64</x:v>
      </x:c>
      <x:c r="M309" s="9" t="str">
        <x:v>W</x:v>
      </x:c>
      <x:c r="N309" s="9" t="n">
        <x:f>IF(M309="W",1,IF(M309="L",0,""))</x:f>
        <x:v>1</x:v>
      </x:c>
      <x:c r="O309" s="24" t="n">
        <x:f>IF(OR(M309="W",M309="L"),(L309-N309)^2,"")</x:f>
        <x:v>0.1296</x:v>
      </x:c>
      <x:c r="P309" s="9" t="str">
        <x:v>NO</x:v>
      </x:c>
      <x:c r="Q309" s="9" t="str">
        <x:v>60-69</x:v>
      </x:c>
      <x:c r="R309" s="9" t="str">
        <x:v>NO</x:v>
      </x:c>
      <x:c r="S309" s="10" t="str">
        <x:v>Official Winner League game page checked 2026-06-23</x:v>
      </x:c>
      <x:c r="T309" s="10" t="str">
        <x:f>IF(IFERROR(ISNUMBER(SEARCH("http",S309)),FALSE),"YES","NO")</x:f>
        <x:v>NO</x:v>
      </x:c>
      <x:c r="U309" s="10" t="str">
        <x:v>NO</x:v>
      </x:c>
      <x:c r="V309" s="10" t="str">
        <x:v>NO</x:v>
      </x:c>
      <x:c r="W309" s="10" t="str">
        <x:v>LEGACY_UNVERIFIED_SNAPSHOT: no immutable cutoff/model/source packet</x:v>
      </x:c>
      <x:c r="X309" s="10" t="str">
        <x:v>legacy schema only</x:v>
      </x:c>
    </x:row>
    <x:row r="310">
      <x:c r="A310" s="9" t="n">
        <x:v>306</x:v>
      </x:c>
      <x:c r="B310" s="9" t="str">
        <x:v>BASK-ISR-20260623-GAL-NET</x:v>
      </x:c>
      <x:c r="C310" s="25" t="str">
        <x:v>2026-06-23</x:v>
      </x:c>
      <x:c r="D310" s="9" t="str">
        <x:v>Basketball</x:v>
      </x:c>
      <x:c r="E310" s="9" t="str">
        <x:v>Basketball/Israel Winner League</x:v>
      </x:c>
      <x:c r="F310" s="10" t="str">
        <x:v>Hapoel Galil Elyon vs Elitzur Netanya</x:v>
      </x:c>
      <x:c r="G310" s="10" t="str">
        <x:v>Winner League Round 32</x:v>
      </x:c>
      <x:c r="H310" s="10" t="str">
        <x:v>Spread, full total, 1H total</x:v>
      </x:c>
      <x:c r="I310" s="9" t="n">
        <x:v>2</x:v>
      </x:c>
      <x:c r="J310" s="10" t="str">
        <x:v>Hapoel Galil Elyon -4.5</x:v>
      </x:c>
      <x:c r="K310" s="9" t="str">
        <x:v>-4.5</x:v>
      </x:c>
      <x:c r="L310" s="23" t="n">
        <x:v>0.59</x:v>
      </x:c>
      <x:c r="M310" s="9" t="str">
        <x:v>W</x:v>
      </x:c>
      <x:c r="N310" s="9" t="n">
        <x:f>IF(M310="W",1,IF(M310="L",0,""))</x:f>
        <x:v>1</x:v>
      </x:c>
      <x:c r="O310" s="24" t="n">
        <x:f>IF(OR(M310="W",M310="L"),(L310-N310)^2,"")</x:f>
        <x:v>0.16810000000000003</x:v>
      </x:c>
      <x:c r="P310" s="9" t="str">
        <x:v>NO</x:v>
      </x:c>
      <x:c r="Q310" s="9" t="str">
        <x:v>50-59</x:v>
      </x:c>
      <x:c r="R310" s="9" t="str">
        <x:v>NO</x:v>
      </x:c>
      <x:c r="S310" s="10" t="str">
        <x:v>Official Winner League game page checked 2026-06-23</x:v>
      </x:c>
      <x:c r="T310" s="10" t="str">
        <x:f>IF(IFERROR(ISNUMBER(SEARCH("http",S310)),FALSE),"YES","NO")</x:f>
        <x:v>NO</x:v>
      </x:c>
      <x:c r="U310" s="10" t="str">
        <x:v>NO</x:v>
      </x:c>
      <x:c r="V310" s="10" t="str">
        <x:v>NO</x:v>
      </x:c>
      <x:c r="W310" s="10" t="str">
        <x:v>LEGACY_UNVERIFIED_SNAPSHOT: no immutable cutoff/model/source packet</x:v>
      </x:c>
      <x:c r="X310" s="10" t="str">
        <x:v>legacy schema only</x:v>
      </x:c>
    </x:row>
    <x:row r="311">
      <x:c r="A311" s="9" t="n">
        <x:v>307</x:v>
      </x:c>
      <x:c r="B311" s="9" t="str">
        <x:v>BASK-ISR-20260623-GAL-NET</x:v>
      </x:c>
      <x:c r="C311" s="25" t="str">
        <x:v>2026-06-23</x:v>
      </x:c>
      <x:c r="D311" s="9" t="str">
        <x:v>Basketball</x:v>
      </x:c>
      <x:c r="E311" s="9" t="str">
        <x:v>Basketball/Israel Winner League</x:v>
      </x:c>
      <x:c r="F311" s="10" t="str">
        <x:v>Hapoel Galil Elyon vs Elitzur Netanya</x:v>
      </x:c>
      <x:c r="G311" s="10" t="str">
        <x:v>Winner League Round 32</x:v>
      </x:c>
      <x:c r="H311" s="10" t="str">
        <x:v>Spread, full total, 1H total</x:v>
      </x:c>
      <x:c r="I311" s="9" t="n">
        <x:v>3</x:v>
      </x:c>
      <x:c r="J311" s="10" t="str">
        <x:v>Combined 1st Half Total Under 87.5</x:v>
      </x:c>
      <x:c r="K311" s="9" t="str">
        <x:v>Under 87.5</x:v>
      </x:c>
      <x:c r="L311" s="23" t="n">
        <x:v>0.57</x:v>
      </x:c>
      <x:c r="M311" s="9" t="str">
        <x:v>L</x:v>
      </x:c>
      <x:c r="N311" s="9" t="n">
        <x:f>IF(M311="W",1,IF(M311="L",0,""))</x:f>
        <x:v>0</x:v>
      </x:c>
      <x:c r="O311" s="24" t="n">
        <x:f>IF(OR(M311="W",M311="L"),(L311-N311)^2,"")</x:f>
        <x:v>0.32489999999999997</x:v>
      </x:c>
      <x:c r="P311" s="9" t="str">
        <x:v>YES</x:v>
      </x:c>
      <x:c r="Q311" s="9" t="str">
        <x:v>50-59</x:v>
      </x:c>
      <x:c r="R311" s="9" t="str">
        <x:v>NO</x:v>
      </x:c>
      <x:c r="S311" s="10" t="str">
        <x:v>Official Winner League game page checked 2026-06-23</x:v>
      </x:c>
      <x:c r="T311" s="10" t="str">
        <x:f>IF(IFERROR(ISNUMBER(SEARCH("http",S311)),FALSE),"YES","NO")</x:f>
        <x:v>NO</x:v>
      </x:c>
      <x:c r="U311" s="10" t="str">
        <x:v>NO</x:v>
      </x:c>
      <x:c r="V311" s="10" t="str">
        <x:v>NO</x:v>
      </x:c>
      <x:c r="W311" s="10" t="str">
        <x:v>LEGACY_UNVERIFIED_SNAPSHOT: no immutable cutoff/model/source packet</x:v>
      </x:c>
      <x:c r="X311" s="10" t="str">
        <x:v>projection_error; exact_complement_selection</x:v>
      </x:c>
    </x:row>
    <x:row r="312">
      <x:c r="A312" s="9" t="n">
        <x:v>308</x:v>
      </x:c>
      <x:c r="B312" s="9" t="str">
        <x:v>BASK-ISR-20260623-GAL-NET</x:v>
      </x:c>
      <x:c r="C312" s="25" t="str">
        <x:v>2026-06-23</x:v>
      </x:c>
      <x:c r="D312" s="9" t="str">
        <x:v>Basketball</x:v>
      </x:c>
      <x:c r="E312" s="9" t="str">
        <x:v>Basketball/Israel Winner League</x:v>
      </x:c>
      <x:c r="F312" s="10" t="str">
        <x:v>Hapoel Galil Elyon vs Elitzur Netanya</x:v>
      </x:c>
      <x:c r="G312" s="10" t="str">
        <x:v>Winner League Round 32</x:v>
      </x:c>
      <x:c r="H312" s="10" t="str">
        <x:v>Spread, full total, 1H total</x:v>
      </x:c>
      <x:c r="I312" s="9" t="n">
        <x:v>4</x:v>
      </x:c>
      <x:c r="J312" s="10" t="str">
        <x:v>Combined 1st Half Total Over 87.5</x:v>
      </x:c>
      <x:c r="K312" s="9" t="str">
        <x:v>Over 87.5</x:v>
      </x:c>
      <x:c r="L312" s="23" t="n">
        <x:v>0.43</x:v>
      </x:c>
      <x:c r="M312" s="9" t="str">
        <x:v>W</x:v>
      </x:c>
      <x:c r="N312" s="9" t="n">
        <x:f>IF(M312="W",1,IF(M312="L",0,""))</x:f>
        <x:v>1</x:v>
      </x:c>
      <x:c r="O312" s="24" t="n">
        <x:f>IF(OR(M312="W",M312="L"),(L312-N312)^2,"")</x:f>
        <x:v>0.3249000000000001</x:v>
      </x:c>
      <x:c r="P312" s="9" t="str">
        <x:v>YES</x:v>
      </x:c>
      <x:c r="Q312" s="9" t="str">
        <x:v>40-49</x:v>
      </x:c>
      <x:c r="R312" s="9" t="str">
        <x:v>NO</x:v>
      </x:c>
      <x:c r="S312" s="10" t="str">
        <x:v>Official Winner League game page checked 2026-06-23</x:v>
      </x:c>
      <x:c r="T312" s="10" t="str">
        <x:f>IF(IFERROR(ISNUMBER(SEARCH("http",S312)),FALSE),"YES","NO")</x:f>
        <x:v>NO</x:v>
      </x:c>
      <x:c r="U312" s="10" t="str">
        <x:v>NO</x:v>
      </x:c>
      <x:c r="V312" s="10" t="str">
        <x:v>NO</x:v>
      </x:c>
      <x:c r="W312" s="10" t="str">
        <x:v>LEGACY_UNVERIFIED_SNAPSHOT: no immutable cutoff/model/source packet</x:v>
      </x:c>
      <x:c r="X312" s="10" t="str">
        <x:v>rank_error; exact_complement_selection</x:v>
      </x:c>
    </x:row>
    <x:row r="313">
      <x:c r="A313" s="9" t="n">
        <x:v>309</x:v>
      </x:c>
      <x:c r="B313" s="9" t="str">
        <x:v>SOC-WC2026-20260623-ARG-AUT</x:v>
      </x:c>
      <x:c r="C313" s="25" t="str">
        <x:v>2026-06-23</x:v>
      </x:c>
      <x:c r="D313" s="9" t="str">
        <x:v>Soccer</x:v>
      </x:c>
      <x:c r="E313" s="9" t="str">
        <x:v>Soccer/FIFA World Cup</x:v>
      </x:c>
      <x:c r="F313" s="10" t="str">
        <x:v>Argentina vs Austria</x:v>
      </x:c>
      <x:c r="G313" s="10" t="str">
        <x:v>FIFA World Cup Group J</x:v>
      </x:c>
      <x:c r="H313" s="10" t="str">
        <x:v>1H goal 0.5 and full total 2.5</x:v>
      </x:c>
      <x:c r="I313" s="9" t="n">
        <x:v>1</x:v>
      </x:c>
      <x:c r="J313" s="10" t="str">
        <x:v>Combined 1H Goals Over 0.5</x:v>
      </x:c>
      <x:c r="K313" s="9" t="str">
        <x:v>1H Over 0.5</x:v>
      </x:c>
      <x:c r="L313" s="23" t="n">
        <x:v>0.64</x:v>
      </x:c>
      <x:c r="M313" s="9" t="str">
        <x:v>W</x:v>
      </x:c>
      <x:c r="N313" s="9" t="n">
        <x:f>IF(M313="W",1,IF(M313="L",0,""))</x:f>
        <x:v>1</x:v>
      </x:c>
      <x:c r="O313" s="24" t="n">
        <x:f>IF(OR(M313="W",M313="L"),(L313-N313)^2,"")</x:f>
        <x:v>0.1296</x:v>
      </x:c>
      <x:c r="P313" s="9" t="str">
        <x:v>YES</x:v>
      </x:c>
      <x:c r="Q313" s="9" t="str">
        <x:v>60-69</x:v>
      </x:c>
      <x:c r="R313" s="9" t="str">
        <x:v>NO</x:v>
      </x:c>
      <x:c r="S313" s="10" t="str">
        <x:v>ESPN final checked 2026-06-23</x:v>
      </x:c>
      <x:c r="T313" s="10" t="str">
        <x:f>IF(IFERROR(ISNUMBER(SEARCH("http",S313)),FALSE),"YES","NO")</x:f>
        <x:v>NO</x:v>
      </x:c>
      <x:c r="U313" s="10" t="str">
        <x:v>NO</x:v>
      </x:c>
      <x:c r="V313" s="10" t="str">
        <x:v>NO</x:v>
      </x:c>
      <x:c r="W313" s="10" t="str">
        <x:v>LEGACY_UNVERIFIED_SNAPSHOT: no immutable cutoff/model/source packet</x:v>
      </x:c>
      <x:c r="X313" s="10" t="str">
        <x:v>exact_complement_selection</x:v>
      </x:c>
    </x:row>
    <x:row r="314">
      <x:c r="A314" s="9" t="n">
        <x:v>310</x:v>
      </x:c>
      <x:c r="B314" s="9" t="str">
        <x:v>SOC-WC2026-20260623-ARG-AUT</x:v>
      </x:c>
      <x:c r="C314" s="25" t="str">
        <x:v>2026-06-23</x:v>
      </x:c>
      <x:c r="D314" s="9" t="str">
        <x:v>Soccer</x:v>
      </x:c>
      <x:c r="E314" s="9" t="str">
        <x:v>Soccer/FIFA World Cup</x:v>
      </x:c>
      <x:c r="F314" s="10" t="str">
        <x:v>Argentina vs Austria</x:v>
      </x:c>
      <x:c r="G314" s="10" t="str">
        <x:v>FIFA World Cup Group J</x:v>
      </x:c>
      <x:c r="H314" s="10" t="str">
        <x:v>1H goal 0.5 and full total 2.5</x:v>
      </x:c>
      <x:c r="I314" s="9" t="n">
        <x:v>2</x:v>
      </x:c>
      <x:c r="J314" s="10" t="str">
        <x:v>Combined Total Goals Under 2.5</x:v>
      </x:c>
      <x:c r="K314" s="9" t="str">
        <x:v>Under 2.5</x:v>
      </x:c>
      <x:c r="L314" s="23" t="n">
        <x:v>0.54</x:v>
      </x:c>
      <x:c r="M314" s="9" t="str">
        <x:v>W</x:v>
      </x:c>
      <x:c r="N314" s="9" t="n">
        <x:f>IF(M314="W",1,IF(M314="L",0,""))</x:f>
        <x:v>1</x:v>
      </x:c>
      <x:c r="O314" s="24" t="n">
        <x:f>IF(OR(M314="W",M314="L"),(L314-N314)^2,"")</x:f>
        <x:v>0.21159999999999995</x:v>
      </x:c>
      <x:c r="P314" s="9" t="str">
        <x:v>YES</x:v>
      </x:c>
      <x:c r="Q314" s="9" t="str">
        <x:v>50-59</x:v>
      </x:c>
      <x:c r="R314" s="9" t="str">
        <x:v>NO</x:v>
      </x:c>
      <x:c r="S314" s="10" t="str">
        <x:v>ESPN final checked 2026-06-23</x:v>
      </x:c>
      <x:c r="T314" s="10" t="str">
        <x:f>IF(IFERROR(ISNUMBER(SEARCH("http",S314)),FALSE),"YES","NO")</x:f>
        <x:v>NO</x:v>
      </x:c>
      <x:c r="U314" s="10" t="str">
        <x:v>NO</x:v>
      </x:c>
      <x:c r="V314" s="10" t="str">
        <x:v>NO</x:v>
      </x:c>
      <x:c r="W314" s="10" t="str">
        <x:v>LEGACY_UNVERIFIED_SNAPSHOT: no immutable cutoff/model/source packet</x:v>
      </x:c>
      <x:c r="X314" s="10" t="str">
        <x:v>exact_complement_selection</x:v>
      </x:c>
    </x:row>
    <x:row r="315">
      <x:c r="A315" s="9" t="n">
        <x:v>311</x:v>
      </x:c>
      <x:c r="B315" s="9" t="str">
        <x:v>SOC-WC2026-20260623-ARG-AUT</x:v>
      </x:c>
      <x:c r="C315" s="25" t="str">
        <x:v>2026-06-23</x:v>
      </x:c>
      <x:c r="D315" s="9" t="str">
        <x:v>Soccer</x:v>
      </x:c>
      <x:c r="E315" s="9" t="str">
        <x:v>Soccer/FIFA World Cup</x:v>
      </x:c>
      <x:c r="F315" s="10" t="str">
        <x:v>Argentina vs Austria</x:v>
      </x:c>
      <x:c r="G315" s="10" t="str">
        <x:v>FIFA World Cup Group J</x:v>
      </x:c>
      <x:c r="H315" s="10" t="str">
        <x:v>1H goal 0.5 and full total 2.5</x:v>
      </x:c>
      <x:c r="I315" s="9" t="n">
        <x:v>3</x:v>
      </x:c>
      <x:c r="J315" s="10" t="str">
        <x:v>Combined Total Goals Over 2.5</x:v>
      </x:c>
      <x:c r="K315" s="9" t="str">
        <x:v>Over 2.5</x:v>
      </x:c>
      <x:c r="L315" s="23" t="n">
        <x:v>0.46</x:v>
      </x:c>
      <x:c r="M315" s="9" t="str">
        <x:v>L</x:v>
      </x:c>
      <x:c r="N315" s="9" t="n">
        <x:f>IF(M315="W",1,IF(M315="L",0,""))</x:f>
        <x:v>0</x:v>
      </x:c>
      <x:c r="O315" s="24" t="n">
        <x:f>IF(OR(M315="W",M315="L"),(L315-N315)^2,"")</x:f>
        <x:v>0.2116</x:v>
      </x:c>
      <x:c r="P315" s="9" t="str">
        <x:v>YES</x:v>
      </x:c>
      <x:c r="Q315" s="9" t="str">
        <x:v>40-49</x:v>
      </x:c>
      <x:c r="R315" s="9" t="str">
        <x:v>NO</x:v>
      </x:c>
      <x:c r="S315" s="10" t="str">
        <x:v>ESPN final checked 2026-06-23</x:v>
      </x:c>
      <x:c r="T315" s="10" t="str">
        <x:f>IF(IFERROR(ISNUMBER(SEARCH("http",S315)),FALSE),"YES","NO")</x:f>
        <x:v>NO</x:v>
      </x:c>
      <x:c r="U315" s="10" t="str">
        <x:v>NO</x:v>
      </x:c>
      <x:c r="V315" s="10" t="str">
        <x:v>NO</x:v>
      </x:c>
      <x:c r="W315" s="10" t="str">
        <x:v>LEGACY_UNVERIFIED_SNAPSHOT: no immutable cutoff/model/source packet</x:v>
      </x:c>
      <x:c r="X315" s="10" t="str">
        <x:v>exact_complement_selection</x:v>
      </x:c>
    </x:row>
    <x:row r="316">
      <x:c r="A316" s="9" t="n">
        <x:v>312</x:v>
      </x:c>
      <x:c r="B316" s="9" t="str">
        <x:v>SOC-WC2026-20260623-ARG-AUT</x:v>
      </x:c>
      <x:c r="C316" s="25" t="str">
        <x:v>2026-06-23</x:v>
      </x:c>
      <x:c r="D316" s="9" t="str">
        <x:v>Soccer</x:v>
      </x:c>
      <x:c r="E316" s="9" t="str">
        <x:v>Soccer/FIFA World Cup</x:v>
      </x:c>
      <x:c r="F316" s="10" t="str">
        <x:v>Argentina vs Austria</x:v>
      </x:c>
      <x:c r="G316" s="10" t="str">
        <x:v>FIFA World Cup Group J</x:v>
      </x:c>
      <x:c r="H316" s="10" t="str">
        <x:v>1H goal 0.5 and full total 2.5</x:v>
      </x:c>
      <x:c r="I316" s="9" t="n">
        <x:v>4</x:v>
      </x:c>
      <x:c r="J316" s="10" t="str">
        <x:v>Combined 1H Goals Under 0.5</x:v>
      </x:c>
      <x:c r="K316" s="9" t="str">
        <x:v>1H Under 0.5</x:v>
      </x:c>
      <x:c r="L316" s="23" t="n">
        <x:v>0.36</x:v>
      </x:c>
      <x:c r="M316" s="9" t="str">
        <x:v>L</x:v>
      </x:c>
      <x:c r="N316" s="9" t="n">
        <x:f>IF(M316="W",1,IF(M316="L",0,""))</x:f>
        <x:v>0</x:v>
      </x:c>
      <x:c r="O316" s="24" t="n">
        <x:f>IF(OR(M316="W",M316="L"),(L316-N316)^2,"")</x:f>
        <x:v>0.1296</x:v>
      </x:c>
      <x:c r="P316" s="9" t="str">
        <x:v>YES</x:v>
      </x:c>
      <x:c r="Q316" s="9" t="str">
        <x:v>30-39</x:v>
      </x:c>
      <x:c r="R316" s="9" t="str">
        <x:v>NO</x:v>
      </x:c>
      <x:c r="S316" s="10" t="str">
        <x:v>ESPN final checked 2026-06-23</x:v>
      </x:c>
      <x:c r="T316" s="10" t="str">
        <x:f>IF(IFERROR(ISNUMBER(SEARCH("http",S316)),FALSE),"YES","NO")</x:f>
        <x:v>NO</x:v>
      </x:c>
      <x:c r="U316" s="10" t="str">
        <x:v>NO</x:v>
      </x:c>
      <x:c r="V316" s="10" t="str">
        <x:v>NO</x:v>
      </x:c>
      <x:c r="W316" s="10" t="str">
        <x:v>LEGACY_UNVERIFIED_SNAPSHOT: no immutable cutoff/model/source packet</x:v>
      </x:c>
      <x:c r="X316" s="10" t="str">
        <x:v>exact_complement_selection</x:v>
      </x:c>
    </x:row>
    <x:row r="317">
      <x:c r="A317" s="9" t="n">
        <x:v>313</x:v>
      </x:c>
      <x:c r="B317" s="9" t="str">
        <x:v>MLB-20260623-BOS-COL</x:v>
      </x:c>
      <x:c r="C317" s="25" t="str">
        <x:v>2026-06-23</x:v>
      </x:c>
      <x:c r="D317" s="9" t="str">
        <x:v>Baseball</x:v>
      </x:c>
      <x:c r="E317" s="9" t="str">
        <x:v>MLB</x:v>
      </x:c>
      <x:c r="F317" s="10" t="str">
        <x:v>Boston Red Sox @ Colorado Rockies</x:v>
      </x:c>
      <x:c r="G317" s="10" t="str">
        <x:v>MLB regular season</x:v>
      </x:c>
      <x:c r="H317" s="10" t="str">
        <x:v>Rockies +1.5, Red Sox ML, total 11.5</x:v>
      </x:c>
      <x:c r="I317" s="9" t="n">
        <x:v>1</x:v>
      </x:c>
      <x:c r="J317" s="10" t="str">
        <x:v>Colorado Rockies +1.5</x:v>
      </x:c>
      <x:c r="K317" s="9" t="str">
        <x:v>Rockies +1.5</x:v>
      </x:c>
      <x:c r="L317" s="23" t="n">
        <x:v>0.62</x:v>
      </x:c>
      <x:c r="M317" s="9" t="str">
        <x:v>W</x:v>
      </x:c>
      <x:c r="N317" s="9" t="n">
        <x:f>IF(M317="W",1,IF(M317="L",0,""))</x:f>
        <x:v>1</x:v>
      </x:c>
      <x:c r="O317" s="24" t="n">
        <x:f>IF(OR(M317="W",M317="L"),(L317-N317)^2,"")</x:f>
        <x:v>0.1444</x:v>
      </x:c>
      <x:c r="P317" s="9" t="str">
        <x:v>NO</x:v>
      </x:c>
      <x:c r="Q317" s="9" t="str">
        <x:v>60-69</x:v>
      </x:c>
      <x:c r="R317" s="9" t="str">
        <x:v>NO</x:v>
      </x:c>
      <x:c r="S317" s="10" t="str">
        <x:v>MLB Stats API final checked 2026-06-23</x:v>
      </x:c>
      <x:c r="T317" s="10" t="str">
        <x:f>IF(IFERROR(ISNUMBER(SEARCH("http",S317)),FALSE),"YES","NO")</x:f>
        <x:v>NO</x:v>
      </x:c>
      <x:c r="U317" s="10" t="str">
        <x:v>NO</x:v>
      </x:c>
      <x:c r="V317" s="10" t="str">
        <x:v>NO</x:v>
      </x:c>
      <x:c r="W317" s="10" t="str">
        <x:v>LEGACY_UNVERIFIED_SNAPSHOT: no immutable cutoff/model/source packet</x:v>
      </x:c>
      <x:c r="X317" s="10" t="str">
        <x:v>legacy schema only</x:v>
      </x:c>
    </x:row>
    <x:row r="318">
      <x:c r="A318" s="9" t="n">
        <x:v>314</x:v>
      </x:c>
      <x:c r="B318" s="9" t="str">
        <x:v>MLB-20260623-BOS-COL</x:v>
      </x:c>
      <x:c r="C318" s="25" t="str">
        <x:v>2026-06-23</x:v>
      </x:c>
      <x:c r="D318" s="9" t="str">
        <x:v>Baseball</x:v>
      </x:c>
      <x:c r="E318" s="9" t="str">
        <x:v>MLB</x:v>
      </x:c>
      <x:c r="F318" s="10" t="str">
        <x:v>Boston Red Sox @ Colorado Rockies</x:v>
      </x:c>
      <x:c r="G318" s="10" t="str">
        <x:v>MLB regular season</x:v>
      </x:c>
      <x:c r="H318" s="10" t="str">
        <x:v>Rockies +1.5, Red Sox ML, total 11.5</x:v>
      </x:c>
      <x:c r="I318" s="9" t="n">
        <x:v>2</x:v>
      </x:c>
      <x:c r="J318" s="10" t="str">
        <x:v>Boston Red Sox ML</x:v>
      </x:c>
      <x:c r="K318" s="9" t="str">
        <x:v>Red Sox ML</x:v>
      </x:c>
      <x:c r="L318" s="23" t="n">
        <x:v>0.56</x:v>
      </x:c>
      <x:c r="M318" s="9" t="str">
        <x:v>L</x:v>
      </x:c>
      <x:c r="N318" s="9" t="n">
        <x:f>IF(M318="W",1,IF(M318="L",0,""))</x:f>
        <x:v>0</x:v>
      </x:c>
      <x:c r="O318" s="24" t="n">
        <x:f>IF(OR(M318="W",M318="L"),(L318-N318)^2,"")</x:f>
        <x:v>0.31360000000000005</x:v>
      </x:c>
      <x:c r="P318" s="9" t="str">
        <x:v>NO</x:v>
      </x:c>
      <x:c r="Q318" s="9" t="str">
        <x:v>50-59</x:v>
      </x:c>
      <x:c r="R318" s="9" t="str">
        <x:v>NO</x:v>
      </x:c>
      <x:c r="S318" s="10" t="str">
        <x:v>MLB Stats API final checked 2026-06-23</x:v>
      </x:c>
      <x:c r="T318" s="10" t="str">
        <x:f>IF(IFERROR(ISNUMBER(SEARCH("http",S318)),FALSE),"YES","NO")</x:f>
        <x:v>NO</x:v>
      </x:c>
      <x:c r="U318" s="10" t="str">
        <x:v>NO</x:v>
      </x:c>
      <x:c r="V318" s="10" t="str">
        <x:v>NO</x:v>
      </x:c>
      <x:c r="W318" s="10" t="str">
        <x:v>LEGACY_UNVERIFIED_SNAPSHOT: no immutable cutoff/model/source packet</x:v>
      </x:c>
      <x:c r="X318" s="10" t="str">
        <x:v>projection_error</x:v>
      </x:c>
    </x:row>
    <x:row r="319">
      <x:c r="A319" s="9" t="n">
        <x:v>315</x:v>
      </x:c>
      <x:c r="B319" s="9" t="str">
        <x:v>MLB-20260623-BOS-COL</x:v>
      </x:c>
      <x:c r="C319" s="25" t="str">
        <x:v>2026-06-23</x:v>
      </x:c>
      <x:c r="D319" s="9" t="str">
        <x:v>Baseball</x:v>
      </x:c>
      <x:c r="E319" s="9" t="str">
        <x:v>MLB</x:v>
      </x:c>
      <x:c r="F319" s="10" t="str">
        <x:v>Boston Red Sox @ Colorado Rockies</x:v>
      </x:c>
      <x:c r="G319" s="10" t="str">
        <x:v>MLB regular season</x:v>
      </x:c>
      <x:c r="H319" s="10" t="str">
        <x:v>Rockies +1.5, Red Sox ML, total 11.5</x:v>
      </x:c>
      <x:c r="I319" s="9" t="n">
        <x:v>3</x:v>
      </x:c>
      <x:c r="J319" s="10" t="str">
        <x:v>Combined Total Under 11.5</x:v>
      </x:c>
      <x:c r="K319" s="9" t="str">
        <x:v>Under 11.5</x:v>
      </x:c>
      <x:c r="L319" s="23" t="n">
        <x:v>0.53</x:v>
      </x:c>
      <x:c r="M319" s="9" t="str">
        <x:v>W</x:v>
      </x:c>
      <x:c r="N319" s="9" t="n">
        <x:f>IF(M319="W",1,IF(M319="L",0,""))</x:f>
        <x:v>1</x:v>
      </x:c>
      <x:c r="O319" s="24" t="n">
        <x:f>IF(OR(M319="W",M319="L"),(L319-N319)^2,"")</x:f>
        <x:v>0.22089999999999999</x:v>
      </x:c>
      <x:c r="P319" s="9" t="str">
        <x:v>YES</x:v>
      </x:c>
      <x:c r="Q319" s="9" t="str">
        <x:v>50-59</x:v>
      </x:c>
      <x:c r="R319" s="9" t="str">
        <x:v>NO</x:v>
      </x:c>
      <x:c r="S319" s="10" t="str">
        <x:v>MLB Stats API final checked 2026-06-23</x:v>
      </x:c>
      <x:c r="T319" s="10" t="str">
        <x:f>IF(IFERROR(ISNUMBER(SEARCH("http",S319)),FALSE),"YES","NO")</x:f>
        <x:v>NO</x:v>
      </x:c>
      <x:c r="U319" s="10" t="str">
        <x:v>NO</x:v>
      </x:c>
      <x:c r="V319" s="10" t="str">
        <x:v>NO</x:v>
      </x:c>
      <x:c r="W319" s="10" t="str">
        <x:v>LEGACY_UNVERIFIED_SNAPSHOT: no immutable cutoff/model/source packet</x:v>
      </x:c>
      <x:c r="X319" s="10" t="str">
        <x:v>exact_complement_selection</x:v>
      </x:c>
    </x:row>
    <x:row r="320">
      <x:c r="A320" s="9" t="n">
        <x:v>316</x:v>
      </x:c>
      <x:c r="B320" s="9" t="str">
        <x:v>MLB-20260623-BOS-COL</x:v>
      </x:c>
      <x:c r="C320" s="25" t="str">
        <x:v>2026-06-23</x:v>
      </x:c>
      <x:c r="D320" s="9" t="str">
        <x:v>Baseball</x:v>
      </x:c>
      <x:c r="E320" s="9" t="str">
        <x:v>MLB</x:v>
      </x:c>
      <x:c r="F320" s="10" t="str">
        <x:v>Boston Red Sox @ Colorado Rockies</x:v>
      </x:c>
      <x:c r="G320" s="10" t="str">
        <x:v>MLB regular season</x:v>
      </x:c>
      <x:c r="H320" s="10" t="str">
        <x:v>Rockies +1.5, Red Sox ML, total 11.5</x:v>
      </x:c>
      <x:c r="I320" s="9" t="n">
        <x:v>4</x:v>
      </x:c>
      <x:c r="J320" s="10" t="str">
        <x:v>Combined Total Over 11.5</x:v>
      </x:c>
      <x:c r="K320" s="9" t="str">
        <x:v>Over 11.5</x:v>
      </x:c>
      <x:c r="L320" s="23" t="n">
        <x:v>0.47</x:v>
      </x:c>
      <x:c r="M320" s="9" t="str">
        <x:v>L</x:v>
      </x:c>
      <x:c r="N320" s="9" t="n">
        <x:f>IF(M320="W",1,IF(M320="L",0,""))</x:f>
        <x:v>0</x:v>
      </x:c>
      <x:c r="O320" s="24" t="n">
        <x:f>IF(OR(M320="W",M320="L"),(L320-N320)^2,"")</x:f>
        <x:v>0.22089999999999999</x:v>
      </x:c>
      <x:c r="P320" s="9" t="str">
        <x:v>YES</x:v>
      </x:c>
      <x:c r="Q320" s="9" t="str">
        <x:v>40-49</x:v>
      </x:c>
      <x:c r="R320" s="9" t="str">
        <x:v>NO</x:v>
      </x:c>
      <x:c r="S320" s="10" t="str">
        <x:v>MLB Stats API final checked 2026-06-23</x:v>
      </x:c>
      <x:c r="T320" s="10" t="str">
        <x:f>IF(IFERROR(ISNUMBER(SEARCH("http",S320)),FALSE),"YES","NO")</x:f>
        <x:v>NO</x:v>
      </x:c>
      <x:c r="U320" s="10" t="str">
        <x:v>NO</x:v>
      </x:c>
      <x:c r="V320" s="10" t="str">
        <x:v>NO</x:v>
      </x:c>
      <x:c r="W320" s="10" t="str">
        <x:v>LEGACY_UNVERIFIED_SNAPSHOT: no immutable cutoff/model/source packet</x:v>
      </x:c>
      <x:c r="X320" s="10" t="str">
        <x:v>exact_complement_selection</x:v>
      </x:c>
    </x:row>
    <x:row r="321">
      <x:c r="A321" s="9" t="n">
        <x:v>317</x:v>
      </x:c>
      <x:c r="B321" s="9" t="str">
        <x:v>WNBA-20260623-DAL-SEA</x:v>
      </x:c>
      <x:c r="C321" s="25" t="str">
        <x:v>2026-06-23</x:v>
      </x:c>
      <x:c r="D321" s="9" t="str">
        <x:v>Basketball</x:v>
      </x:c>
      <x:c r="E321" s="9" t="str">
        <x:v>WNBA</x:v>
      </x:c>
      <x:c r="F321" s="10" t="str">
        <x:v>Dallas Wings @ Seattle Storm</x:v>
      </x:c>
      <x:c r="G321" s="10" t="str">
        <x:v>WNBA regular season</x:v>
      </x:c>
      <x:c r="H321" s="10" t="str">
        <x:v>Q1 41.5, 1H 83.5, full 170.5</x:v>
      </x:c>
      <x:c r="I321" s="9" t="n">
        <x:v>1</x:v>
      </x:c>
      <x:c r="J321" s="10" t="str">
        <x:v>Combined Total Under 170.5</x:v>
      </x:c>
      <x:c r="K321" s="9" t="str">
        <x:v>Under 170.5</x:v>
      </x:c>
      <x:c r="L321" s="23" t="n">
        <x:v>0.62</x:v>
      </x:c>
      <x:c r="M321" s="9" t="str">
        <x:v>L</x:v>
      </x:c>
      <x:c r="N321" s="9" t="n">
        <x:f>IF(M321="W",1,IF(M321="L",0,""))</x:f>
        <x:v>0</x:v>
      </x:c>
      <x:c r="O321" s="24" t="n">
        <x:f>IF(OR(M321="W",M321="L"),(L321-N321)^2,"")</x:f>
        <x:v>0.3844</x:v>
      </x:c>
      <x:c r="P321" s="9" t="str">
        <x:v>YES</x:v>
      </x:c>
      <x:c r="Q321" s="9" t="str">
        <x:v>60-69</x:v>
      </x:c>
      <x:c r="R321" s="9" t="str">
        <x:v>NO</x:v>
      </x:c>
      <x:c r="S321" s="10" t="str">
        <x:v>ESPN exact-event final checked 2026-06-23</x:v>
      </x:c>
      <x:c r="T321" s="10" t="str">
        <x:f>IF(IFERROR(ISNUMBER(SEARCH("http",S321)),FALSE),"YES","NO")</x:f>
        <x:v>NO</x:v>
      </x:c>
      <x:c r="U321" s="10" t="str">
        <x:v>NO</x:v>
      </x:c>
      <x:c r="V321" s="10" t="str">
        <x:v>NO</x:v>
      </x:c>
      <x:c r="W321" s="10" t="str">
        <x:v>LEGACY_UNVERIFIED_SNAPSHOT: no immutable cutoff/model/source packet</x:v>
      </x:c>
      <x:c r="X321" s="10" t="str">
        <x:v>projection_error; rank_error; exact_complement_selection</x:v>
      </x:c>
    </x:row>
    <x:row r="322">
      <x:c r="A322" s="9" t="n">
        <x:v>318</x:v>
      </x:c>
      <x:c r="B322" s="9" t="str">
        <x:v>WNBA-20260623-DAL-SEA</x:v>
      </x:c>
      <x:c r="C322" s="25" t="str">
        <x:v>2026-06-23</x:v>
      </x:c>
      <x:c r="D322" s="9" t="str">
        <x:v>Basketball</x:v>
      </x:c>
      <x:c r="E322" s="9" t="str">
        <x:v>WNBA</x:v>
      </x:c>
      <x:c r="F322" s="10" t="str">
        <x:v>Dallas Wings @ Seattle Storm</x:v>
      </x:c>
      <x:c r="G322" s="10" t="str">
        <x:v>WNBA regular season</x:v>
      </x:c>
      <x:c r="H322" s="10" t="str">
        <x:v>Q1 41.5, 1H 83.5, full 170.5</x:v>
      </x:c>
      <x:c r="I322" s="9" t="n">
        <x:v>2</x:v>
      </x:c>
      <x:c r="J322" s="10" t="str">
        <x:v>Combined 1st Half Total Under 83.5</x:v>
      </x:c>
      <x:c r="K322" s="9" t="str">
        <x:v>Under 83.5</x:v>
      </x:c>
      <x:c r="L322" s="23" t="n">
        <x:v>0.57</x:v>
      </x:c>
      <x:c r="M322" s="9" t="str">
        <x:v>W</x:v>
      </x:c>
      <x:c r="N322" s="9" t="n">
        <x:f>IF(M322="W",1,IF(M322="L",0,""))</x:f>
        <x:v>1</x:v>
      </x:c>
      <x:c r="O322" s="24" t="n">
        <x:f>IF(OR(M322="W",M322="L"),(L322-N322)^2,"")</x:f>
        <x:v>0.18490000000000004</x:v>
      </x:c>
      <x:c r="P322" s="9" t="str">
        <x:v>YES</x:v>
      </x:c>
      <x:c r="Q322" s="9" t="str">
        <x:v>50-59</x:v>
      </x:c>
      <x:c r="R322" s="9" t="str">
        <x:v>NO</x:v>
      </x:c>
      <x:c r="S322" s="10" t="str">
        <x:v>ESPN exact-event final checked 2026-06-23</x:v>
      </x:c>
      <x:c r="T322" s="10" t="str">
        <x:f>IF(IFERROR(ISNUMBER(SEARCH("http",S322)),FALSE),"YES","NO")</x:f>
        <x:v>NO</x:v>
      </x:c>
      <x:c r="U322" s="10" t="str">
        <x:v>NO</x:v>
      </x:c>
      <x:c r="V322" s="10" t="str">
        <x:v>NO</x:v>
      </x:c>
      <x:c r="W322" s="10" t="str">
        <x:v>LEGACY_UNVERIFIED_SNAPSHOT: no immutable cutoff/model/source packet</x:v>
      </x:c>
      <x:c r="X322" s="10" t="str">
        <x:v>exact_complement_selection</x:v>
      </x:c>
    </x:row>
    <x:row r="323">
      <x:c r="A323" s="9" t="n">
        <x:v>319</x:v>
      </x:c>
      <x:c r="B323" s="9" t="str">
        <x:v>WNBA-20260623-DAL-SEA</x:v>
      </x:c>
      <x:c r="C323" s="25" t="str">
        <x:v>2026-06-23</x:v>
      </x:c>
      <x:c r="D323" s="9" t="str">
        <x:v>Basketball</x:v>
      </x:c>
      <x:c r="E323" s="9" t="str">
        <x:v>WNBA</x:v>
      </x:c>
      <x:c r="F323" s="10" t="str">
        <x:v>Dallas Wings @ Seattle Storm</x:v>
      </x:c>
      <x:c r="G323" s="10" t="str">
        <x:v>WNBA regular season</x:v>
      </x:c>
      <x:c r="H323" s="10" t="str">
        <x:v>Q1 41.5, 1H 83.5, full 170.5</x:v>
      </x:c>
      <x:c r="I323" s="9" t="n">
        <x:v>3</x:v>
      </x:c>
      <x:c r="J323" s="10" t="str">
        <x:v>Combined 1st Quarter Total Under 41.5</x:v>
      </x:c>
      <x:c r="K323" s="9" t="str">
        <x:v>Under 41.5</x:v>
      </x:c>
      <x:c r="L323" s="23" t="n">
        <x:v>0.55</x:v>
      </x:c>
      <x:c r="M323" s="9" t="str">
        <x:v>L</x:v>
      </x:c>
      <x:c r="N323" s="9" t="n">
        <x:f>IF(M323="W",1,IF(M323="L",0,""))</x:f>
        <x:v>0</x:v>
      </x:c>
      <x:c r="O323" s="24" t="n">
        <x:f>IF(OR(M323="W",M323="L"),(L323-N323)^2,"")</x:f>
        <x:v>0.30250000000000005</x:v>
      </x:c>
      <x:c r="P323" s="9" t="str">
        <x:v>YES</x:v>
      </x:c>
      <x:c r="Q323" s="9" t="str">
        <x:v>50-59</x:v>
      </x:c>
      <x:c r="R323" s="9" t="str">
        <x:v>NO</x:v>
      </x:c>
      <x:c r="S323" s="10" t="str">
        <x:v>ESPN exact-event final checked 2026-06-23</x:v>
      </x:c>
      <x:c r="T323" s="10" t="str">
        <x:f>IF(IFERROR(ISNUMBER(SEARCH("http",S323)),FALSE),"YES","NO")</x:f>
        <x:v>NO</x:v>
      </x:c>
      <x:c r="U323" s="10" t="str">
        <x:v>NO</x:v>
      </x:c>
      <x:c r="V323" s="10" t="str">
        <x:v>NO</x:v>
      </x:c>
      <x:c r="W323" s="10" t="str">
        <x:v>LEGACY_UNVERIFIED_SNAPSHOT: no immutable cutoff/model/source packet</x:v>
      </x:c>
      <x:c r="X323" s="10" t="str">
        <x:v>projection_error; exact_complement_selection</x:v>
      </x:c>
    </x:row>
    <x:row r="324">
      <x:c r="A324" s="9" t="n">
        <x:v>320</x:v>
      </x:c>
      <x:c r="B324" s="9" t="str">
        <x:v>WNBA-20260623-DAL-SEA</x:v>
      </x:c>
      <x:c r="C324" s="25" t="str">
        <x:v>2026-06-23</x:v>
      </x:c>
      <x:c r="D324" s="9" t="str">
        <x:v>Basketball</x:v>
      </x:c>
      <x:c r="E324" s="9" t="str">
        <x:v>WNBA</x:v>
      </x:c>
      <x:c r="F324" s="10" t="str">
        <x:v>Dallas Wings @ Seattle Storm</x:v>
      </x:c>
      <x:c r="G324" s="10" t="str">
        <x:v>WNBA regular season</x:v>
      </x:c>
      <x:c r="H324" s="10" t="str">
        <x:v>Q1 41.5, 1H 83.5, full 170.5</x:v>
      </x:c>
      <x:c r="I324" s="9" t="n">
        <x:v>4</x:v>
      </x:c>
      <x:c r="J324" s="10" t="str">
        <x:v>Combined 1st Quarter Total Over 41.5</x:v>
      </x:c>
      <x:c r="K324" s="9" t="str">
        <x:v>Over 41.5</x:v>
      </x:c>
      <x:c r="L324" s="23" t="n">
        <x:v>0.45</x:v>
      </x:c>
      <x:c r="M324" s="9" t="str">
        <x:v>W</x:v>
      </x:c>
      <x:c r="N324" s="9" t="n">
        <x:f>IF(M324="W",1,IF(M324="L",0,""))</x:f>
        <x:v>1</x:v>
      </x:c>
      <x:c r="O324" s="24" t="n">
        <x:f>IF(OR(M324="W",M324="L"),(L324-N324)^2,"")</x:f>
        <x:v>0.30250000000000005</x:v>
      </x:c>
      <x:c r="P324" s="9" t="str">
        <x:v>YES</x:v>
      </x:c>
      <x:c r="Q324" s="9" t="str">
        <x:v>40-49</x:v>
      </x:c>
      <x:c r="R324" s="9" t="str">
        <x:v>NO</x:v>
      </x:c>
      <x:c r="S324" s="10" t="str">
        <x:v>ESPN exact-event final checked 2026-06-23</x:v>
      </x:c>
      <x:c r="T324" s="10" t="str">
        <x:f>IF(IFERROR(ISNUMBER(SEARCH("http",S324)),FALSE),"YES","NO")</x:f>
        <x:v>NO</x:v>
      </x:c>
      <x:c r="U324" s="10" t="str">
        <x:v>NO</x:v>
      </x:c>
      <x:c r="V324" s="10" t="str">
        <x:v>NO</x:v>
      </x:c>
      <x:c r="W324" s="10" t="str">
        <x:v>LEGACY_UNVERIFIED_SNAPSHOT: no immutable cutoff/model/source packet</x:v>
      </x:c>
      <x:c r="X324" s="10" t="str">
        <x:v>rank_error; exact_complement_selection</x:v>
      </x:c>
    </x:row>
    <x:row r="325">
      <x:c r="A325" s="9" t="n">
        <x:v>321</x:v>
      </x:c>
      <x:c r="B325" s="9" t="str">
        <x:v>WNBA-20260623-DAL-SEA</x:v>
      </x:c>
      <x:c r="C325" s="25" t="str">
        <x:v>2026-06-23</x:v>
      </x:c>
      <x:c r="D325" s="9" t="str">
        <x:v>Basketball</x:v>
      </x:c>
      <x:c r="E325" s="9" t="str">
        <x:v>WNBA</x:v>
      </x:c>
      <x:c r="F325" s="10" t="str">
        <x:v>Dallas Wings @ Seattle Storm</x:v>
      </x:c>
      <x:c r="G325" s="10" t="str">
        <x:v>WNBA regular season</x:v>
      </x:c>
      <x:c r="H325" s="10" t="str">
        <x:v>Q1 41.5, 1H 83.5, full 170.5</x:v>
      </x:c>
      <x:c r="I325" s="9" t="n">
        <x:v>5</x:v>
      </x:c>
      <x:c r="J325" s="10" t="str">
        <x:v>Combined 1st Half Total Over 83.5</x:v>
      </x:c>
      <x:c r="K325" s="9" t="str">
        <x:v>Over 83.5</x:v>
      </x:c>
      <x:c r="L325" s="23" t="n">
        <x:v>0.43</x:v>
      </x:c>
      <x:c r="M325" s="9" t="str">
        <x:v>L</x:v>
      </x:c>
      <x:c r="N325" s="9" t="n">
        <x:f>IF(M325="W",1,IF(M325="L",0,""))</x:f>
        <x:v>0</x:v>
      </x:c>
      <x:c r="O325" s="24" t="n">
        <x:f>IF(OR(M325="W",M325="L"),(L325-N325)^2,"")</x:f>
        <x:v>0.18489999999999998</x:v>
      </x:c>
      <x:c r="P325" s="9" t="str">
        <x:v>YES</x:v>
      </x:c>
      <x:c r="Q325" s="9" t="str">
        <x:v>40-49</x:v>
      </x:c>
      <x:c r="R325" s="9" t="str">
        <x:v>NO</x:v>
      </x:c>
      <x:c r="S325" s="10" t="str">
        <x:v>ESPN exact-event final checked 2026-06-23</x:v>
      </x:c>
      <x:c r="T325" s="10" t="str">
        <x:f>IF(IFERROR(ISNUMBER(SEARCH("http",S325)),FALSE),"YES","NO")</x:f>
        <x:v>NO</x:v>
      </x:c>
      <x:c r="U325" s="10" t="str">
        <x:v>NO</x:v>
      </x:c>
      <x:c r="V325" s="10" t="str">
        <x:v>NO</x:v>
      </x:c>
      <x:c r="W325" s="10" t="str">
        <x:v>LEGACY_UNVERIFIED_SNAPSHOT: no immutable cutoff/model/source packet</x:v>
      </x:c>
      <x:c r="X325" s="10" t="str">
        <x:v>exact_complement_selection</x:v>
      </x:c>
    </x:row>
    <x:row r="326">
      <x:c r="A326" s="9" t="n">
        <x:v>322</x:v>
      </x:c>
      <x:c r="B326" s="9" t="str">
        <x:v>WNBA-20260623-DAL-SEA</x:v>
      </x:c>
      <x:c r="C326" s="25" t="str">
        <x:v>2026-06-23</x:v>
      </x:c>
      <x:c r="D326" s="9" t="str">
        <x:v>Basketball</x:v>
      </x:c>
      <x:c r="E326" s="9" t="str">
        <x:v>WNBA</x:v>
      </x:c>
      <x:c r="F326" s="10" t="str">
        <x:v>Dallas Wings @ Seattle Storm</x:v>
      </x:c>
      <x:c r="G326" s="10" t="str">
        <x:v>WNBA regular season</x:v>
      </x:c>
      <x:c r="H326" s="10" t="str">
        <x:v>Q1 41.5, 1H 83.5, full 170.5</x:v>
      </x:c>
      <x:c r="I326" s="9" t="n">
        <x:v>6</x:v>
      </x:c>
      <x:c r="J326" s="10" t="str">
        <x:v>Combined Total Over 170.5</x:v>
      </x:c>
      <x:c r="K326" s="9" t="str">
        <x:v>Over 170.5</x:v>
      </x:c>
      <x:c r="L326" s="23" t="n">
        <x:v>0.38</x:v>
      </x:c>
      <x:c r="M326" s="9" t="str">
        <x:v>W</x:v>
      </x:c>
      <x:c r="N326" s="9" t="n">
        <x:f>IF(M326="W",1,IF(M326="L",0,""))</x:f>
        <x:v>1</x:v>
      </x:c>
      <x:c r="O326" s="24" t="n">
        <x:f>IF(OR(M326="W",M326="L"),(L326-N326)^2,"")</x:f>
        <x:v>0.3844</x:v>
      </x:c>
      <x:c r="P326" s="9" t="str">
        <x:v>YES</x:v>
      </x:c>
      <x:c r="Q326" s="9" t="str">
        <x:v>30-39</x:v>
      </x:c>
      <x:c r="R326" s="9" t="str">
        <x:v>NO</x:v>
      </x:c>
      <x:c r="S326" s="10" t="str">
        <x:v>ESPN exact-event final checked 2026-06-23</x:v>
      </x:c>
      <x:c r="T326" s="10" t="str">
        <x:f>IF(IFERROR(ISNUMBER(SEARCH("http",S326)),FALSE),"YES","NO")</x:f>
        <x:v>NO</x:v>
      </x:c>
      <x:c r="U326" s="10" t="str">
        <x:v>NO</x:v>
      </x:c>
      <x:c r="V326" s="10" t="str">
        <x:v>NO</x:v>
      </x:c>
      <x:c r="W326" s="10" t="str">
        <x:v>LEGACY_UNVERIFIED_SNAPSHOT: no immutable cutoff/model/source packet</x:v>
      </x:c>
      <x:c r="X326" s="10" t="str">
        <x:v>rank_error; exact_complement_selection</x:v>
      </x:c>
    </x:row>
    <x:row r="327">
      <x:c r="A327" s="9" t="n">
        <x:v>323</x:v>
      </x:c>
      <x:c r="B327" s="9" t="str">
        <x:v>CRIC-WT20-20260623-NZW-SCO</x:v>
      </x:c>
      <x:c r="C327" s="25" t="str">
        <x:v>2026-06-23</x:v>
      </x:c>
      <x:c r="D327" s="9" t="str">
        <x:v>Cricket</x:v>
      </x:c>
      <x:c r="E327" s="9" t="str">
        <x:v>Cricket/WT20I</x:v>
      </x:c>
      <x:c r="F327" s="10" t="str">
        <x:v>New Zealand Women vs Scotland Women</x:v>
      </x:c>
      <x:c r="G327" s="10" t="str">
        <x:v>ICC Women's T20 World Cup Group B</x:v>
      </x:c>
      <x:c r="H327" s="10" t="str">
        <x:v>Scotland innings 136.5 and PP 42.5</x:v>
      </x:c>
      <x:c r="I327" s="9" t="n">
        <x:v>1</x:v>
      </x:c>
      <x:c r="J327" s="10" t="str">
        <x:v>Scotland 20 overs Over 136.5</x:v>
      </x:c>
      <x:c r="K327" s="9" t="str">
        <x:v>Over 136.5</x:v>
      </x:c>
      <x:c r="L327" s="23" t="n">
        <x:v>0.62</x:v>
      </x:c>
      <x:c r="M327" s="9" t="str">
        <x:v>L</x:v>
      </x:c>
      <x:c r="N327" s="9" t="n">
        <x:f>IF(M327="W",1,IF(M327="L",0,""))</x:f>
        <x:v>0</x:v>
      </x:c>
      <x:c r="O327" s="24" t="n">
        <x:f>IF(OR(M327="W",M327="L"),(L327-N327)^2,"")</x:f>
        <x:v>0.3844</x:v>
      </x:c>
      <x:c r="P327" s="9" t="str">
        <x:v>YES</x:v>
      </x:c>
      <x:c r="Q327" s="9" t="str">
        <x:v>60-69</x:v>
      </x:c>
      <x:c r="R327" s="9" t="str">
        <x:v>NO</x:v>
      </x:c>
      <x:c r="S327" s="10" t="str">
        <x:v>ESPNcricinfo/ABC final checked 2026-06-23</x:v>
      </x:c>
      <x:c r="T327" s="10" t="str">
        <x:f>IF(IFERROR(ISNUMBER(SEARCH("http",S327)),FALSE),"YES","NO")</x:f>
        <x:v>NO</x:v>
      </x:c>
      <x:c r="U327" s="10" t="str">
        <x:v>NO</x:v>
      </x:c>
      <x:c r="V327" s="10" t="str">
        <x:v>NO</x:v>
      </x:c>
      <x:c r="W327" s="10" t="str">
        <x:v>LEGACY_UNVERIFIED_SNAPSHOT: no immutable cutoff/model/source packet</x:v>
      </x:c>
      <x:c r="X327" s="10" t="str">
        <x:v>projection_error; rank_error; exact_complement_selection</x:v>
      </x:c>
    </x:row>
    <x:row r="328">
      <x:c r="A328" s="9" t="n">
        <x:v>324</x:v>
      </x:c>
      <x:c r="B328" s="9" t="str">
        <x:v>CRIC-WT20-20260623-NZW-SCO</x:v>
      </x:c>
      <x:c r="C328" s="25" t="str">
        <x:v>2026-06-23</x:v>
      </x:c>
      <x:c r="D328" s="9" t="str">
        <x:v>Cricket</x:v>
      </x:c>
      <x:c r="E328" s="9" t="str">
        <x:v>Cricket/WT20I</x:v>
      </x:c>
      <x:c r="F328" s="10" t="str">
        <x:v>New Zealand Women vs Scotland Women</x:v>
      </x:c>
      <x:c r="G328" s="10" t="str">
        <x:v>ICC Women's T20 World Cup Group B</x:v>
      </x:c>
      <x:c r="H328" s="10" t="str">
        <x:v>Scotland innings 136.5 and PP 42.5</x:v>
      </x:c>
      <x:c r="I328" s="9" t="n">
        <x:v>2</x:v>
      </x:c>
      <x:c r="J328" s="10" t="str">
        <x:v>Scotland first 6 overs Under 42.5</x:v>
      </x:c>
      <x:c r="K328" s="9" t="str">
        <x:v>Under 42.5</x:v>
      </x:c>
      <x:c r="L328" s="23" t="n">
        <x:v>0.56</x:v>
      </x:c>
      <x:c r="M328" s="9" t="str">
        <x:v>L</x:v>
      </x:c>
      <x:c r="N328" s="9" t="n">
        <x:f>IF(M328="W",1,IF(M328="L",0,""))</x:f>
        <x:v>0</x:v>
      </x:c>
      <x:c r="O328" s="24" t="n">
        <x:f>IF(OR(M328="W",M328="L"),(L328-N328)^2,"")</x:f>
        <x:v>0.31360000000000005</x:v>
      </x:c>
      <x:c r="P328" s="9" t="str">
        <x:v>YES</x:v>
      </x:c>
      <x:c r="Q328" s="9" t="str">
        <x:v>50-59</x:v>
      </x:c>
      <x:c r="R328" s="9" t="str">
        <x:v>NO</x:v>
      </x:c>
      <x:c r="S328" s="10" t="str">
        <x:v>ESPNcricinfo/ABC final checked 2026-06-23</x:v>
      </x:c>
      <x:c r="T328" s="10" t="str">
        <x:f>IF(IFERROR(ISNUMBER(SEARCH("http",S328)),FALSE),"YES","NO")</x:f>
        <x:v>NO</x:v>
      </x:c>
      <x:c r="U328" s="10" t="str">
        <x:v>NO</x:v>
      </x:c>
      <x:c r="V328" s="10" t="str">
        <x:v>NO</x:v>
      </x:c>
      <x:c r="W328" s="10" t="str">
        <x:v>LEGACY_UNVERIFIED_SNAPSHOT: no immutable cutoff/model/source packet</x:v>
      </x:c>
      <x:c r="X328" s="10" t="str">
        <x:v>projection_error; rank_error; exact_complement_selection</x:v>
      </x:c>
    </x:row>
    <x:row r="329">
      <x:c r="A329" s="9" t="n">
        <x:v>325</x:v>
      </x:c>
      <x:c r="B329" s="9" t="str">
        <x:v>CRIC-WT20-20260623-NZW-SCO</x:v>
      </x:c>
      <x:c r="C329" s="25" t="str">
        <x:v>2026-06-23</x:v>
      </x:c>
      <x:c r="D329" s="9" t="str">
        <x:v>Cricket</x:v>
      </x:c>
      <x:c r="E329" s="9" t="str">
        <x:v>Cricket/WT20I</x:v>
      </x:c>
      <x:c r="F329" s="10" t="str">
        <x:v>New Zealand Women vs Scotland Women</x:v>
      </x:c>
      <x:c r="G329" s="10" t="str">
        <x:v>ICC Women's T20 World Cup Group B</x:v>
      </x:c>
      <x:c r="H329" s="10" t="str">
        <x:v>Scotland innings 136.5 and PP 42.5</x:v>
      </x:c>
      <x:c r="I329" s="9" t="n">
        <x:v>3</x:v>
      </x:c>
      <x:c r="J329" s="10" t="str">
        <x:v>Scotland first 6 overs Over 42.5</x:v>
      </x:c>
      <x:c r="K329" s="9" t="str">
        <x:v>Over 42.5</x:v>
      </x:c>
      <x:c r="L329" s="23" t="n">
        <x:v>0.44</x:v>
      </x:c>
      <x:c r="M329" s="9" t="str">
        <x:v>W</x:v>
      </x:c>
      <x:c r="N329" s="9" t="n">
        <x:f>IF(M329="W",1,IF(M329="L",0,""))</x:f>
        <x:v>1</x:v>
      </x:c>
      <x:c r="O329" s="24" t="n">
        <x:f>IF(OR(M329="W",M329="L"),(L329-N329)^2,"")</x:f>
        <x:v>0.31360000000000005</x:v>
      </x:c>
      <x:c r="P329" s="9" t="str">
        <x:v>YES</x:v>
      </x:c>
      <x:c r="Q329" s="9" t="str">
        <x:v>40-49</x:v>
      </x:c>
      <x:c r="R329" s="9" t="str">
        <x:v>NO</x:v>
      </x:c>
      <x:c r="S329" s="10" t="str">
        <x:v>ESPNcricinfo/ABC final checked 2026-06-23</x:v>
      </x:c>
      <x:c r="T329" s="10" t="str">
        <x:f>IF(IFERROR(ISNUMBER(SEARCH("http",S329)),FALSE),"YES","NO")</x:f>
        <x:v>NO</x:v>
      </x:c>
      <x:c r="U329" s="10" t="str">
        <x:v>NO</x:v>
      </x:c>
      <x:c r="V329" s="10" t="str">
        <x:v>NO</x:v>
      </x:c>
      <x:c r="W329" s="10" t="str">
        <x:v>LEGACY_UNVERIFIED_SNAPSHOT: no immutable cutoff/model/source packet</x:v>
      </x:c>
      <x:c r="X329" s="10" t="str">
        <x:v>exact_complement_selection</x:v>
      </x:c>
    </x:row>
    <x:row r="330">
      <x:c r="A330" s="9" t="n">
        <x:v>326</x:v>
      </x:c>
      <x:c r="B330" s="9" t="str">
        <x:v>CRIC-WT20-20260623-NZW-SCO</x:v>
      </x:c>
      <x:c r="C330" s="25" t="str">
        <x:v>2026-06-23</x:v>
      </x:c>
      <x:c r="D330" s="9" t="str">
        <x:v>Cricket</x:v>
      </x:c>
      <x:c r="E330" s="9" t="str">
        <x:v>Cricket/WT20I</x:v>
      </x:c>
      <x:c r="F330" s="10" t="str">
        <x:v>New Zealand Women vs Scotland Women</x:v>
      </x:c>
      <x:c r="G330" s="10" t="str">
        <x:v>ICC Women's T20 World Cup Group B</x:v>
      </x:c>
      <x:c r="H330" s="10" t="str">
        <x:v>Scotland innings 136.5 and PP 42.5</x:v>
      </x:c>
      <x:c r="I330" s="9" t="n">
        <x:v>4</x:v>
      </x:c>
      <x:c r="J330" s="10" t="str">
        <x:v>Scotland 20 overs Under 136.5</x:v>
      </x:c>
      <x:c r="K330" s="9" t="str">
        <x:v>Under 136.5</x:v>
      </x:c>
      <x:c r="L330" s="23" t="n">
        <x:v>0.38</x:v>
      </x:c>
      <x:c r="M330" s="9" t="str">
        <x:v>W</x:v>
      </x:c>
      <x:c r="N330" s="9" t="n">
        <x:f>IF(M330="W",1,IF(M330="L",0,""))</x:f>
        <x:v>1</x:v>
      </x:c>
      <x:c r="O330" s="24" t="n">
        <x:f>IF(OR(M330="W",M330="L"),(L330-N330)^2,"")</x:f>
        <x:v>0.3844</x:v>
      </x:c>
      <x:c r="P330" s="9" t="str">
        <x:v>YES</x:v>
      </x:c>
      <x:c r="Q330" s="9" t="str">
        <x:v>30-39</x:v>
      </x:c>
      <x:c r="R330" s="9" t="str">
        <x:v>NO</x:v>
      </x:c>
      <x:c r="S330" s="10" t="str">
        <x:v>ESPNcricinfo/ABC final checked 2026-06-23</x:v>
      </x:c>
      <x:c r="T330" s="10" t="str">
        <x:f>IF(IFERROR(ISNUMBER(SEARCH("http",S330)),FALSE),"YES","NO")</x:f>
        <x:v>NO</x:v>
      </x:c>
      <x:c r="U330" s="10" t="str">
        <x:v>NO</x:v>
      </x:c>
      <x:c r="V330" s="10" t="str">
        <x:v>NO</x:v>
      </x:c>
      <x:c r="W330" s="10" t="str">
        <x:v>LEGACY_UNVERIFIED_SNAPSHOT: no immutable cutoff/model/source packet</x:v>
      </x:c>
      <x:c r="X330" s="10" t="str">
        <x:v>projection_error; rank_error; exact_complement_selection</x:v>
      </x:c>
    </x:row>
    <x:row r="331">
      <x:c r="A331" s="9" t="n">
        <x:v>327</x:v>
      </x:c>
      <x:c r="B331" s="9" t="str">
        <x:v>BASK-NZNBL-20260624-WHA-SOU</x:v>
      </x:c>
      <x:c r="C331" s="25" t="str">
        <x:v>2026-06-24</x:v>
      </x:c>
      <x:c r="D331" s="9" t="str">
        <x:v>Basketball</x:v>
      </x:c>
      <x:c r="E331" s="9" t="str">
        <x:v>Basketball/NZNBL</x:v>
      </x:c>
      <x:c r="F331" s="10" t="str">
        <x:v>Tauranga Whai vs Southland Sharks</x:v>
      </x:c>
      <x:c r="G331" s="10" t="str">
        <x:v>NZNBL regular season</x:v>
      </x:c>
      <x:c r="H331" s="10" t="str">
        <x:v>Q1, 1H and full total</x:v>
      </x:c>
      <x:c r="I331" s="9" t="n">
        <x:v>1</x:v>
      </x:c>
      <x:c r="J331" s="10" t="str">
        <x:v>Combined Total Under 180.5</x:v>
      </x:c>
      <x:c r="K331" s="9" t="str">
        <x:v>Combined Total Under 180.5</x:v>
      </x:c>
      <x:c r="L331" s="23" t="n">
        <x:v>0.56</x:v>
      </x:c>
      <x:c r="M331" s="9" t="str">
        <x:v>L</x:v>
      </x:c>
      <x:c r="N331" s="9" t="n">
        <x:f>IF(M331="W",1,IF(M331="L",0,""))</x:f>
        <x:v>0</x:v>
      </x:c>
      <x:c r="O331" s="24" t="n">
        <x:f>IF(OR(M331="W",M331="L"),(L331-N331)^2,"")</x:f>
        <x:v>0.31360000000000005</x:v>
      </x:c>
      <x:c r="P331" s="9" t="str">
        <x:v>YES</x:v>
      </x:c>
      <x:c r="Q331" s="9" t="str">
        <x:v>50-59</x:v>
      </x:c>
      <x:c r="R331" s="9" t="str">
        <x:v>NO</x:v>
      </x:c>
      <x:c r="S331" s="10" t="str">
        <x:v>Official NZNBL recap; 365Scores phase table</x:v>
      </x:c>
      <x:c r="T331" s="10" t="str">
        <x:f>IF(IFERROR(ISNUMBER(SEARCH("http",S331)),FALSE),"YES","NO")</x:f>
        <x:v>NO</x:v>
      </x:c>
      <x:c r="U331" s="10" t="str">
        <x:v>NO</x:v>
      </x:c>
      <x:c r="V331" s="10" t="str">
        <x:v>NO</x:v>
      </x:c>
      <x:c r="W331" s="10" t="str">
        <x:v>LEGACY_UNVERIFIED_SNAPSHOT: no immutable cutoff/model/source packet</x:v>
      </x:c>
      <x:c r="X331" s="10" t="str">
        <x:v>projection_error; rank_error; exact_complement_selection</x:v>
      </x:c>
    </x:row>
    <x:row r="332">
      <x:c r="A332" s="9" t="n">
        <x:v>328</x:v>
      </x:c>
      <x:c r="B332" s="9" t="str">
        <x:v>BASK-NZNBL-20260624-WHA-SOU</x:v>
      </x:c>
      <x:c r="C332" s="25" t="str">
        <x:v>2026-06-24</x:v>
      </x:c>
      <x:c r="D332" s="9" t="str">
        <x:v>Basketball</x:v>
      </x:c>
      <x:c r="E332" s="9" t="str">
        <x:v>Basketball/NZNBL</x:v>
      </x:c>
      <x:c r="F332" s="10" t="str">
        <x:v>Tauranga Whai vs Southland Sharks</x:v>
      </x:c>
      <x:c r="G332" s="10" t="str">
        <x:v>NZNBL regular season</x:v>
      </x:c>
      <x:c r="H332" s="10" t="str">
        <x:v>Q1, 1H and full total</x:v>
      </x:c>
      <x:c r="I332" s="9" t="n">
        <x:v>2</x:v>
      </x:c>
      <x:c r="J332" s="10" t="str">
        <x:v>Combined 1st Quarter Over 44.5</x:v>
      </x:c>
      <x:c r="K332" s="9" t="str">
        <x:v>Combined 1st Quarter Over 44.5</x:v>
      </x:c>
      <x:c r="L332" s="23" t="n">
        <x:v>0.55</x:v>
      </x:c>
      <x:c r="M332" s="9" t="str">
        <x:v>W</x:v>
      </x:c>
      <x:c r="N332" s="9" t="n">
        <x:f>IF(M332="W",1,IF(M332="L",0,""))</x:f>
        <x:v>1</x:v>
      </x:c>
      <x:c r="O332" s="24" t="n">
        <x:f>IF(OR(M332="W",M332="L"),(L332-N332)^2,"")</x:f>
        <x:v>0.20249999999999996</x:v>
      </x:c>
      <x:c r="P332" s="9" t="str">
        <x:v>YES</x:v>
      </x:c>
      <x:c r="Q332" s="9" t="str">
        <x:v>50-59</x:v>
      </x:c>
      <x:c r="R332" s="9" t="str">
        <x:v>NO</x:v>
      </x:c>
      <x:c r="S332" s="10" t="str">
        <x:v>Official NZNBL recap; 365Scores phase table</x:v>
      </x:c>
      <x:c r="T332" s="10" t="str">
        <x:f>IF(IFERROR(ISNUMBER(SEARCH("http",S332)),FALSE),"YES","NO")</x:f>
        <x:v>NO</x:v>
      </x:c>
      <x:c r="U332" s="10" t="str">
        <x:v>NO</x:v>
      </x:c>
      <x:c r="V332" s="10" t="str">
        <x:v>NO</x:v>
      </x:c>
      <x:c r="W332" s="10" t="str">
        <x:v>LEGACY_UNVERIFIED_SNAPSHOT: no immutable cutoff/model/source packet</x:v>
      </x:c>
      <x:c r="X332" s="10" t="str">
        <x:v>exact_complement_selection</x:v>
      </x:c>
    </x:row>
    <x:row r="333">
      <x:c r="A333" s="9" t="n">
        <x:v>329</x:v>
      </x:c>
      <x:c r="B333" s="9" t="str">
        <x:v>BASK-NZNBL-20260624-WHA-SOU</x:v>
      </x:c>
      <x:c r="C333" s="25" t="str">
        <x:v>2026-06-24</x:v>
      </x:c>
      <x:c r="D333" s="9" t="str">
        <x:v>Basketball</x:v>
      </x:c>
      <x:c r="E333" s="9" t="str">
        <x:v>Basketball/NZNBL</x:v>
      </x:c>
      <x:c r="F333" s="10" t="str">
        <x:v>Tauranga Whai vs Southland Sharks</x:v>
      </x:c>
      <x:c r="G333" s="10" t="str">
        <x:v>NZNBL regular season</x:v>
      </x:c>
      <x:c r="H333" s="10" t="str">
        <x:v>Q1, 1H and full total</x:v>
      </x:c>
      <x:c r="I333" s="9" t="n">
        <x:v>3</x:v>
      </x:c>
      <x:c r="J333" s="10" t="str">
        <x:v>Combined 1st Half Over 89.5</x:v>
      </x:c>
      <x:c r="K333" s="9" t="str">
        <x:v>Combined 1st Half Over 89.5</x:v>
      </x:c>
      <x:c r="L333" s="23" t="n">
        <x:v>0.53</x:v>
      </x:c>
      <x:c r="M333" s="9" t="str">
        <x:v>L</x:v>
      </x:c>
      <x:c r="N333" s="9" t="n">
        <x:f>IF(M333="W",1,IF(M333="L",0,""))</x:f>
        <x:v>0</x:v>
      </x:c>
      <x:c r="O333" s="24" t="n">
        <x:f>IF(OR(M333="W",M333="L"),(L333-N333)^2,"")</x:f>
        <x:v>0.28090000000000004</x:v>
      </x:c>
      <x:c r="P333" s="9" t="str">
        <x:v>YES</x:v>
      </x:c>
      <x:c r="Q333" s="9" t="str">
        <x:v>50-59</x:v>
      </x:c>
      <x:c r="R333" s="9" t="str">
        <x:v>NO</x:v>
      </x:c>
      <x:c r="S333" s="10" t="str">
        <x:v>Official NZNBL recap; 365Scores phase table</x:v>
      </x:c>
      <x:c r="T333" s="10" t="str">
        <x:f>IF(IFERROR(ISNUMBER(SEARCH("http",S333)),FALSE),"YES","NO")</x:f>
        <x:v>NO</x:v>
      </x:c>
      <x:c r="U333" s="10" t="str">
        <x:v>NO</x:v>
      </x:c>
      <x:c r="V333" s="10" t="str">
        <x:v>NO</x:v>
      </x:c>
      <x:c r="W333" s="10" t="str">
        <x:v>LEGACY_UNVERIFIED_SNAPSHOT: no immutable cutoff/model/source packet</x:v>
      </x:c>
      <x:c r="X333" s="10" t="str">
        <x:v>projection_error; exact_complement_selection</x:v>
      </x:c>
    </x:row>
    <x:row r="334">
      <x:c r="A334" s="9" t="n">
        <x:v>330</x:v>
      </x:c>
      <x:c r="B334" s="9" t="str">
        <x:v>BASK-NZNBL-20260624-WHA-SOU</x:v>
      </x:c>
      <x:c r="C334" s="25" t="str">
        <x:v>2026-06-24</x:v>
      </x:c>
      <x:c r="D334" s="9" t="str">
        <x:v>Basketball</x:v>
      </x:c>
      <x:c r="E334" s="9" t="str">
        <x:v>Basketball/NZNBL</x:v>
      </x:c>
      <x:c r="F334" s="10" t="str">
        <x:v>Tauranga Whai vs Southland Sharks</x:v>
      </x:c>
      <x:c r="G334" s="10" t="str">
        <x:v>NZNBL regular season</x:v>
      </x:c>
      <x:c r="H334" s="10" t="str">
        <x:v>Q1, 1H and full total</x:v>
      </x:c>
      <x:c r="I334" s="9" t="n">
        <x:v>4</x:v>
      </x:c>
      <x:c r="J334" s="10" t="str">
        <x:v>Combined 1st Half Under 89.5</x:v>
      </x:c>
      <x:c r="K334" s="9" t="str">
        <x:v>Combined 1st Half Under 89.5</x:v>
      </x:c>
      <x:c r="L334" s="23" t="n">
        <x:v>0.47</x:v>
      </x:c>
      <x:c r="M334" s="9" t="str">
        <x:v>W</x:v>
      </x:c>
      <x:c r="N334" s="9" t="n">
        <x:f>IF(M334="W",1,IF(M334="L",0,""))</x:f>
        <x:v>1</x:v>
      </x:c>
      <x:c r="O334" s="24" t="n">
        <x:f>IF(OR(M334="W",M334="L"),(L334-N334)^2,"")</x:f>
        <x:v>0.28090000000000004</x:v>
      </x:c>
      <x:c r="P334" s="9" t="str">
        <x:v>YES</x:v>
      </x:c>
      <x:c r="Q334" s="9" t="str">
        <x:v>40-49</x:v>
      </x:c>
      <x:c r="R334" s="9" t="str">
        <x:v>NO</x:v>
      </x:c>
      <x:c r="S334" s="10" t="str">
        <x:v>Official NZNBL recap; 365Scores phase table</x:v>
      </x:c>
      <x:c r="T334" s="10" t="str">
        <x:f>IF(IFERROR(ISNUMBER(SEARCH("http",S334)),FALSE),"YES","NO")</x:f>
        <x:v>NO</x:v>
      </x:c>
      <x:c r="U334" s="10" t="str">
        <x:v>NO</x:v>
      </x:c>
      <x:c r="V334" s="10" t="str">
        <x:v>NO</x:v>
      </x:c>
      <x:c r="W334" s="10" t="str">
        <x:v>LEGACY_UNVERIFIED_SNAPSHOT: no immutable cutoff/model/source packet</x:v>
      </x:c>
      <x:c r="X334" s="10" t="str">
        <x:v>projection_error; rank_error; exact_complement_selection</x:v>
      </x:c>
    </x:row>
    <x:row r="335">
      <x:c r="A335" s="9" t="n">
        <x:v>331</x:v>
      </x:c>
      <x:c r="B335" s="9" t="str">
        <x:v>BASK-NZNBL-20260624-WHA-SOU</x:v>
      </x:c>
      <x:c r="C335" s="25" t="str">
        <x:v>2026-06-24</x:v>
      </x:c>
      <x:c r="D335" s="9" t="str">
        <x:v>Basketball</x:v>
      </x:c>
      <x:c r="E335" s="9" t="str">
        <x:v>Basketball/NZNBL</x:v>
      </x:c>
      <x:c r="F335" s="10" t="str">
        <x:v>Tauranga Whai vs Southland Sharks</x:v>
      </x:c>
      <x:c r="G335" s="10" t="str">
        <x:v>NZNBL regular season</x:v>
      </x:c>
      <x:c r="H335" s="10" t="str">
        <x:v>Q1, 1H and full total</x:v>
      </x:c>
      <x:c r="I335" s="9" t="n">
        <x:v>5</x:v>
      </x:c>
      <x:c r="J335" s="10" t="str">
        <x:v>Combined 1st Quarter Under 44.5</x:v>
      </x:c>
      <x:c r="K335" s="9" t="str">
        <x:v>Combined 1st Quarter Under 44.5</x:v>
      </x:c>
      <x:c r="L335" s="23" t="n">
        <x:v>0.45</x:v>
      </x:c>
      <x:c r="M335" s="9" t="str">
        <x:v>L</x:v>
      </x:c>
      <x:c r="N335" s="9" t="n">
        <x:f>IF(M335="W",1,IF(M335="L",0,""))</x:f>
        <x:v>0</x:v>
      </x:c>
      <x:c r="O335" s="24" t="n">
        <x:f>IF(OR(M335="W",M335="L"),(L335-N335)^2,"")</x:f>
        <x:v>0.2025</x:v>
      </x:c>
      <x:c r="P335" s="9" t="str">
        <x:v>YES</x:v>
      </x:c>
      <x:c r="Q335" s="9" t="str">
        <x:v>40-49</x:v>
      </x:c>
      <x:c r="R335" s="9" t="str">
        <x:v>NO</x:v>
      </x:c>
      <x:c r="S335" s="10" t="str">
        <x:v>Official NZNBL recap; 365Scores phase table</x:v>
      </x:c>
      <x:c r="T335" s="10" t="str">
        <x:f>IF(IFERROR(ISNUMBER(SEARCH("http",S335)),FALSE),"YES","NO")</x:f>
        <x:v>NO</x:v>
      </x:c>
      <x:c r="U335" s="10" t="str">
        <x:v>NO</x:v>
      </x:c>
      <x:c r="V335" s="10" t="str">
        <x:v>NO</x:v>
      </x:c>
      <x:c r="W335" s="10" t="str">
        <x:v>LEGACY_UNVERIFIED_SNAPSHOT: no immutable cutoff/model/source packet</x:v>
      </x:c>
      <x:c r="X335" s="10" t="str">
        <x:v>exact_complement_selection</x:v>
      </x:c>
    </x:row>
    <x:row r="336">
      <x:c r="A336" s="9" t="n">
        <x:v>332</x:v>
      </x:c>
      <x:c r="B336" s="9" t="str">
        <x:v>BASK-NZNBL-20260624-WHA-SOU</x:v>
      </x:c>
      <x:c r="C336" s="25" t="str">
        <x:v>2026-06-24</x:v>
      </x:c>
      <x:c r="D336" s="9" t="str">
        <x:v>Basketball</x:v>
      </x:c>
      <x:c r="E336" s="9" t="str">
        <x:v>Basketball/NZNBL</x:v>
      </x:c>
      <x:c r="F336" s="10" t="str">
        <x:v>Tauranga Whai vs Southland Sharks</x:v>
      </x:c>
      <x:c r="G336" s="10" t="str">
        <x:v>NZNBL regular season</x:v>
      </x:c>
      <x:c r="H336" s="10" t="str">
        <x:v>Q1, 1H and full total</x:v>
      </x:c>
      <x:c r="I336" s="9" t="n">
        <x:v>6</x:v>
      </x:c>
      <x:c r="J336" s="10" t="str">
        <x:v>Combined Total Over 180.5</x:v>
      </x:c>
      <x:c r="K336" s="9" t="str">
        <x:v>Combined Total Over 180.5</x:v>
      </x:c>
      <x:c r="L336" s="23" t="n">
        <x:v>0.44</x:v>
      </x:c>
      <x:c r="M336" s="9" t="str">
        <x:v>W</x:v>
      </x:c>
      <x:c r="N336" s="9" t="n">
        <x:f>IF(M336="W",1,IF(M336="L",0,""))</x:f>
        <x:v>1</x:v>
      </x:c>
      <x:c r="O336" s="24" t="n">
        <x:f>IF(OR(M336="W",M336="L"),(L336-N336)^2,"")</x:f>
        <x:v>0.31360000000000005</x:v>
      </x:c>
      <x:c r="P336" s="9" t="str">
        <x:v>YES</x:v>
      </x:c>
      <x:c r="Q336" s="9" t="str">
        <x:v>40-49</x:v>
      </x:c>
      <x:c r="R336" s="9" t="str">
        <x:v>NO</x:v>
      </x:c>
      <x:c r="S336" s="10" t="str">
        <x:v>Official NZNBL recap; 365Scores phase table</x:v>
      </x:c>
      <x:c r="T336" s="10" t="str">
        <x:f>IF(IFERROR(ISNUMBER(SEARCH("http",S336)),FALSE),"YES","NO")</x:f>
        <x:v>NO</x:v>
      </x:c>
      <x:c r="U336" s="10" t="str">
        <x:v>NO</x:v>
      </x:c>
      <x:c r="V336" s="10" t="str">
        <x:v>NO</x:v>
      </x:c>
      <x:c r="W336" s="10" t="str">
        <x:v>LEGACY_UNVERIFIED_SNAPSHOT: no immutable cutoff/model/source packet</x:v>
      </x:c>
      <x:c r="X336" s="10" t="str">
        <x:v>projection_error; rank_error; exact_complement_selection</x:v>
      </x:c>
    </x:row>
    <x:row r="337">
      <x:c r="A337" s="9" t="n">
        <x:v>333</x:v>
      </x:c>
      <x:c r="B337" s="9" t="str">
        <x:v>MLB-20260625-TEX-MIA</x:v>
      </x:c>
      <x:c r="C337" s="25" t="str">
        <x:v>2026-06-25</x:v>
      </x:c>
      <x:c r="D337" s="9" t="str">
        <x:v>Baseball</x:v>
      </x:c>
      <x:c r="E337" s="9" t="str">
        <x:v>MLB</x:v>
      </x:c>
      <x:c r="F337" s="10" t="str">
        <x:v>Texas Rangers @ Miami Marlins</x:v>
      </x:c>
      <x:c r="G337" s="10" t="str">
        <x:v>MLB regular season</x:v>
      </x:c>
      <x:c r="H337" s="10" t="str">
        <x:v>Marlins +1.5, Rangers win, total 7.5</x:v>
      </x:c>
      <x:c r="I337" s="9" t="n">
        <x:v>1</x:v>
      </x:c>
      <x:c r="J337" s="10" t="str">
        <x:v>Marlins +1.5</x:v>
      </x:c>
      <x:c r="K337" s="9" t="str">
        <x:v>Marlins +1.5</x:v>
      </x:c>
      <x:c r="L337" s="23" t="n">
        <x:v>0.62</x:v>
      </x:c>
      <x:c r="M337" s="9" t="str">
        <x:v>W</x:v>
      </x:c>
      <x:c r="N337" s="9" t="n">
        <x:f>IF(M337="W",1,IF(M337="L",0,""))</x:f>
        <x:v>1</x:v>
      </x:c>
      <x:c r="O337" s="24" t="n">
        <x:f>IF(OR(M337="W",M337="L"),(L337-N337)^2,"")</x:f>
        <x:v>0.1444</x:v>
      </x:c>
      <x:c r="P337" s="9" t="str">
        <x:v>NO</x:v>
      </x:c>
      <x:c r="Q337" s="9" t="str">
        <x:v>60-69</x:v>
      </x:c>
      <x:c r="R337" s="9" t="str">
        <x:v>NO</x:v>
      </x:c>
      <x:c r="S337" s="10" t="str">
        <x:v>MLB Stats API/ESPN/AP final</x:v>
      </x:c>
      <x:c r="T337" s="10" t="str">
        <x:f>IF(IFERROR(ISNUMBER(SEARCH("http",S337)),FALSE),"YES","NO")</x:f>
        <x:v>NO</x:v>
      </x:c>
      <x:c r="U337" s="10" t="str">
        <x:v>NO</x:v>
      </x:c>
      <x:c r="V337" s="10" t="str">
        <x:v>NO</x:v>
      </x:c>
      <x:c r="W337" s="10" t="str">
        <x:v>LEGACY_UNVERIFIED_SNAPSHOT: no immutable cutoff/model/source packet</x:v>
      </x:c>
      <x:c r="X337" s="10" t="str">
        <x:v>legacy schema only</x:v>
      </x:c>
    </x:row>
    <x:row r="338">
      <x:c r="A338" s="9" t="n">
        <x:v>334</x:v>
      </x:c>
      <x:c r="B338" s="9" t="str">
        <x:v>MLB-20260625-TEX-MIA</x:v>
      </x:c>
      <x:c r="C338" s="25" t="str">
        <x:v>2026-06-25</x:v>
      </x:c>
      <x:c r="D338" s="9" t="str">
        <x:v>Baseball</x:v>
      </x:c>
      <x:c r="E338" s="9" t="str">
        <x:v>MLB</x:v>
      </x:c>
      <x:c r="F338" s="10" t="str">
        <x:v>Texas Rangers @ Miami Marlins</x:v>
      </x:c>
      <x:c r="G338" s="10" t="str">
        <x:v>MLB regular season</x:v>
      </x:c>
      <x:c r="H338" s="10" t="str">
        <x:v>Marlins +1.5, Rangers win, total 7.5</x:v>
      </x:c>
      <x:c r="I338" s="9" t="n">
        <x:v>2</x:v>
      </x:c>
      <x:c r="J338" s="10" t="str">
        <x:v>Combined Total Under 7.5</x:v>
      </x:c>
      <x:c r="K338" s="9" t="str">
        <x:v>Combined Total Under 7.5</x:v>
      </x:c>
      <x:c r="L338" s="23" t="n">
        <x:v>0.55</x:v>
      </x:c>
      <x:c r="M338" s="9" t="str">
        <x:v>W</x:v>
      </x:c>
      <x:c r="N338" s="9" t="n">
        <x:f>IF(M338="W",1,IF(M338="L",0,""))</x:f>
        <x:v>1</x:v>
      </x:c>
      <x:c r="O338" s="24" t="n">
        <x:f>IF(OR(M338="W",M338="L"),(L338-N338)^2,"")</x:f>
        <x:v>0.20249999999999996</x:v>
      </x:c>
      <x:c r="P338" s="9" t="str">
        <x:v>YES</x:v>
      </x:c>
      <x:c r="Q338" s="9" t="str">
        <x:v>50-59</x:v>
      </x:c>
      <x:c r="R338" s="9" t="str">
        <x:v>NO</x:v>
      </x:c>
      <x:c r="S338" s="10" t="str">
        <x:v>MLB Stats API/ESPN/AP final</x:v>
      </x:c>
      <x:c r="T338" s="10" t="str">
        <x:f>IF(IFERROR(ISNUMBER(SEARCH("http",S338)),FALSE),"YES","NO")</x:f>
        <x:v>NO</x:v>
      </x:c>
      <x:c r="U338" s="10" t="str">
        <x:v>NO</x:v>
      </x:c>
      <x:c r="V338" s="10" t="str">
        <x:v>NO</x:v>
      </x:c>
      <x:c r="W338" s="10" t="str">
        <x:v>LEGACY_UNVERIFIED_SNAPSHOT: no immutable cutoff/model/source packet</x:v>
      </x:c>
      <x:c r="X338" s="10" t="str">
        <x:v>exact_complement_selection</x:v>
      </x:c>
    </x:row>
    <x:row r="339">
      <x:c r="A339" s="9" t="n">
        <x:v>335</x:v>
      </x:c>
      <x:c r="B339" s="9" t="str">
        <x:v>MLB-20260625-TEX-MIA</x:v>
      </x:c>
      <x:c r="C339" s="25" t="str">
        <x:v>2026-06-25</x:v>
      </x:c>
      <x:c r="D339" s="9" t="str">
        <x:v>Baseball</x:v>
      </x:c>
      <x:c r="E339" s="9" t="str">
        <x:v>MLB</x:v>
      </x:c>
      <x:c r="F339" s="10" t="str">
        <x:v>Texas Rangers @ Miami Marlins</x:v>
      </x:c>
      <x:c r="G339" s="10" t="str">
        <x:v>MLB regular season</x:v>
      </x:c>
      <x:c r="H339" s="10" t="str">
        <x:v>Marlins +1.5, Rangers win, total 7.5</x:v>
      </x:c>
      <x:c r="I339" s="9" t="n">
        <x:v>3</x:v>
      </x:c>
      <x:c r="J339" s="10" t="str">
        <x:v>Rangers +0.5 / Rangers to win</x:v>
      </x:c>
      <x:c r="K339" s="9" t="str">
        <x:v>Rangers +0.5 / Rangers to win</x:v>
      </x:c>
      <x:c r="L339" s="23" t="n">
        <x:v>0.54</x:v>
      </x:c>
      <x:c r="M339" s="9" t="str">
        <x:v>L</x:v>
      </x:c>
      <x:c r="N339" s="9" t="n">
        <x:f>IF(M339="W",1,IF(M339="L",0,""))</x:f>
        <x:v>0</x:v>
      </x:c>
      <x:c r="O339" s="24" t="n">
        <x:f>IF(OR(M339="W",M339="L"),(L339-N339)^2,"")</x:f>
        <x:v>0.2916</x:v>
      </x:c>
      <x:c r="P339" s="9" t="str">
        <x:v>NO</x:v>
      </x:c>
      <x:c r="Q339" s="9" t="str">
        <x:v>50-59</x:v>
      </x:c>
      <x:c r="R339" s="9" t="str">
        <x:v>NO</x:v>
      </x:c>
      <x:c r="S339" s="10" t="str">
        <x:v>MLB Stats API/ESPN/AP final</x:v>
      </x:c>
      <x:c r="T339" s="10" t="str">
        <x:f>IF(IFERROR(ISNUMBER(SEARCH("http",S339)),FALSE),"YES","NO")</x:f>
        <x:v>NO</x:v>
      </x:c>
      <x:c r="U339" s="10" t="str">
        <x:v>NO</x:v>
      </x:c>
      <x:c r="V339" s="10" t="str">
        <x:v>NO</x:v>
      </x:c>
      <x:c r="W339" s="10" t="str">
        <x:v>LEGACY_UNVERIFIED_SNAPSHOT: no immutable cutoff/model/source packet</x:v>
      </x:c>
      <x:c r="X339" s="10" t="str">
        <x:v>projection_error; rank_error</x:v>
      </x:c>
    </x:row>
    <x:row r="340">
      <x:c r="A340" s="9" t="n">
        <x:v>336</x:v>
      </x:c>
      <x:c r="B340" s="9" t="str">
        <x:v>MLB-20260625-TEX-MIA</x:v>
      </x:c>
      <x:c r="C340" s="25" t="str">
        <x:v>2026-06-25</x:v>
      </x:c>
      <x:c r="D340" s="9" t="str">
        <x:v>Baseball</x:v>
      </x:c>
      <x:c r="E340" s="9" t="str">
        <x:v>MLB</x:v>
      </x:c>
      <x:c r="F340" s="10" t="str">
        <x:v>Texas Rangers @ Miami Marlins</x:v>
      </x:c>
      <x:c r="G340" s="10" t="str">
        <x:v>MLB regular season</x:v>
      </x:c>
      <x:c r="H340" s="10" t="str">
        <x:v>Marlins +1.5, Rangers win, total 7.5</x:v>
      </x:c>
      <x:c r="I340" s="9" t="n">
        <x:v>4</x:v>
      </x:c>
      <x:c r="J340" s="10" t="str">
        <x:v>Combined Total Over 7.5</x:v>
      </x:c>
      <x:c r="K340" s="9" t="str">
        <x:v>Combined Total Over 7.5</x:v>
      </x:c>
      <x:c r="L340" s="23" t="n">
        <x:v>0.45</x:v>
      </x:c>
      <x:c r="M340" s="9" t="str">
        <x:v>L</x:v>
      </x:c>
      <x:c r="N340" s="9" t="n">
        <x:f>IF(M340="W",1,IF(M340="L",0,""))</x:f>
        <x:v>0</x:v>
      </x:c>
      <x:c r="O340" s="24" t="n">
        <x:f>IF(OR(M340="W",M340="L"),(L340-N340)^2,"")</x:f>
        <x:v>0.2025</x:v>
      </x:c>
      <x:c r="P340" s="9" t="str">
        <x:v>YES</x:v>
      </x:c>
      <x:c r="Q340" s="9" t="str">
        <x:v>40-49</x:v>
      </x:c>
      <x:c r="R340" s="9" t="str">
        <x:v>NO</x:v>
      </x:c>
      <x:c r="S340" s="10" t="str">
        <x:v>MLB Stats API/ESPN/AP final</x:v>
      </x:c>
      <x:c r="T340" s="10" t="str">
        <x:f>IF(IFERROR(ISNUMBER(SEARCH("http",S340)),FALSE),"YES","NO")</x:f>
        <x:v>NO</x:v>
      </x:c>
      <x:c r="U340" s="10" t="str">
        <x:v>NO</x:v>
      </x:c>
      <x:c r="V340" s="10" t="str">
        <x:v>NO</x:v>
      </x:c>
      <x:c r="W340" s="10" t="str">
        <x:v>LEGACY_UNVERIFIED_SNAPSHOT: no immutable cutoff/model/source packet</x:v>
      </x:c>
      <x:c r="X340" s="10" t="str">
        <x:v>exact_complement_selection</x:v>
      </x:c>
    </x:row>
    <x:row r="341">
      <x:c r="A341" s="9" t="n">
        <x:v>337</x:v>
      </x:c>
      <x:c r="B341" s="9" t="str">
        <x:v>CRIC-WT20-20260625-ENG-WI</x:v>
      </x:c>
      <x:c r="C341" s="25" t="str">
        <x:v>2026-06-25</x:v>
      </x:c>
      <x:c r="D341" s="9" t="str">
        <x:v>Cricket</x:v>
      </x:c>
      <x:c r="E341" s="9" t="str">
        <x:v>Cricket/WT20I</x:v>
      </x:c>
      <x:c r="F341" s="10" t="str">
        <x:v>England Women vs West Indies Women</x:v>
      </x:c>
      <x:c r="G341" s="10" t="str">
        <x:v>ICC Women T20 World Cup Group B</x:v>
      </x:c>
      <x:c r="H341" s="10" t="str">
        <x:v>England innings 175.5 and PP 51.5</x:v>
      </x:c>
      <x:c r="I341" s="9" t="n">
        <x:v>1</x:v>
      </x:c>
      <x:c r="J341" s="10" t="str">
        <x:v>England 20 overs Under 175.5</x:v>
      </x:c>
      <x:c r="K341" s="9" t="str">
        <x:v>England 20 overs Under 175.5</x:v>
      </x:c>
      <x:c r="L341" s="23" t="n">
        <x:v>0.6</x:v>
      </x:c>
      <x:c r="M341" s="9" t="str">
        <x:v>L</x:v>
      </x:c>
      <x:c r="N341" s="9" t="n">
        <x:f>IF(M341="W",1,IF(M341="L",0,""))</x:f>
        <x:v>0</x:v>
      </x:c>
      <x:c r="O341" s="24" t="n">
        <x:f>IF(OR(M341="W",M341="L"),(L341-N341)^2,"")</x:f>
        <x:v>0.36</x:v>
      </x:c>
      <x:c r="P341" s="9" t="str">
        <x:v>YES</x:v>
      </x:c>
      <x:c r="Q341" s="9" t="str">
        <x:v>60-69</x:v>
      </x:c>
      <x:c r="R341" s="9" t="str">
        <x:v>NO</x:v>
      </x:c>
      <x:c r="S341" s="10" t="str">
        <x:v>ESPNcricinfo/Cricbuzz/Guardian final</x:v>
      </x:c>
      <x:c r="T341" s="10" t="str">
        <x:f>IF(IFERROR(ISNUMBER(SEARCH("http",S341)),FALSE),"YES","NO")</x:f>
        <x:v>NO</x:v>
      </x:c>
      <x:c r="U341" s="10" t="str">
        <x:v>NO</x:v>
      </x:c>
      <x:c r="V341" s="10" t="str">
        <x:v>NO</x:v>
      </x:c>
      <x:c r="W341" s="10" t="str">
        <x:v>LEGACY_UNVERIFIED_SNAPSHOT: no immutable cutoff/model/source packet</x:v>
      </x:c>
      <x:c r="X341" s="10" t="str">
        <x:v>projection_error; rank_error; exact_complement_selection</x:v>
      </x:c>
    </x:row>
    <x:row r="342">
      <x:c r="A342" s="9" t="n">
        <x:v>338</x:v>
      </x:c>
      <x:c r="B342" s="9" t="str">
        <x:v>CRIC-WT20-20260625-ENG-WI</x:v>
      </x:c>
      <x:c r="C342" s="25" t="str">
        <x:v>2026-06-25</x:v>
      </x:c>
      <x:c r="D342" s="9" t="str">
        <x:v>Cricket</x:v>
      </x:c>
      <x:c r="E342" s="9" t="str">
        <x:v>Cricket/WT20I</x:v>
      </x:c>
      <x:c r="F342" s="10" t="str">
        <x:v>England Women vs West Indies Women</x:v>
      </x:c>
      <x:c r="G342" s="10" t="str">
        <x:v>ICC Women T20 World Cup Group B</x:v>
      </x:c>
      <x:c r="H342" s="10" t="str">
        <x:v>England innings 175.5 and PP 51.5</x:v>
      </x:c>
      <x:c r="I342" s="9" t="n">
        <x:v>2</x:v>
      </x:c>
      <x:c r="J342" s="10" t="str">
        <x:v>England first 6 overs Under 51.5</x:v>
      </x:c>
      <x:c r="K342" s="9" t="str">
        <x:v>England first 6 overs Under 51.5</x:v>
      </x:c>
      <x:c r="L342" s="23" t="n">
        <x:v>0.56</x:v>
      </x:c>
      <x:c r="M342" s="9" t="str">
        <x:v>W</x:v>
      </x:c>
      <x:c r="N342" s="9" t="n">
        <x:f>IF(M342="W",1,IF(M342="L",0,""))</x:f>
        <x:v>1</x:v>
      </x:c>
      <x:c r="O342" s="24" t="n">
        <x:f>IF(OR(M342="W",M342="L"),(L342-N342)^2,"")</x:f>
        <x:v>0.19359999999999997</x:v>
      </x:c>
      <x:c r="P342" s="9" t="str">
        <x:v>YES</x:v>
      </x:c>
      <x:c r="Q342" s="9" t="str">
        <x:v>50-59</x:v>
      </x:c>
      <x:c r="R342" s="9" t="str">
        <x:v>NO</x:v>
      </x:c>
      <x:c r="S342" s="10" t="str">
        <x:v>ESPNcricinfo/Cricbuzz/Guardian final</x:v>
      </x:c>
      <x:c r="T342" s="10" t="str">
        <x:f>IF(IFERROR(ISNUMBER(SEARCH("http",S342)),FALSE),"YES","NO")</x:f>
        <x:v>NO</x:v>
      </x:c>
      <x:c r="U342" s="10" t="str">
        <x:v>NO</x:v>
      </x:c>
      <x:c r="V342" s="10" t="str">
        <x:v>NO</x:v>
      </x:c>
      <x:c r="W342" s="10" t="str">
        <x:v>LEGACY_UNVERIFIED_SNAPSHOT: no immutable cutoff/model/source packet</x:v>
      </x:c>
      <x:c r="X342" s="10" t="str">
        <x:v>exact_complement_selection</x:v>
      </x:c>
    </x:row>
    <x:row r="343">
      <x:c r="A343" s="9" t="n">
        <x:v>339</x:v>
      </x:c>
      <x:c r="B343" s="9" t="str">
        <x:v>CRIC-WT20-20260625-ENG-WI</x:v>
      </x:c>
      <x:c r="C343" s="25" t="str">
        <x:v>2026-06-25</x:v>
      </x:c>
      <x:c r="D343" s="9" t="str">
        <x:v>Cricket</x:v>
      </x:c>
      <x:c r="E343" s="9" t="str">
        <x:v>Cricket/WT20I</x:v>
      </x:c>
      <x:c r="F343" s="10" t="str">
        <x:v>England Women vs West Indies Women</x:v>
      </x:c>
      <x:c r="G343" s="10" t="str">
        <x:v>ICC Women T20 World Cup Group B</x:v>
      </x:c>
      <x:c r="H343" s="10" t="str">
        <x:v>England innings 175.5 and PP 51.5</x:v>
      </x:c>
      <x:c r="I343" s="9" t="n">
        <x:v>3</x:v>
      </x:c>
      <x:c r="J343" s="10" t="str">
        <x:v>England first 6 overs Over 51.5</x:v>
      </x:c>
      <x:c r="K343" s="9" t="str">
        <x:v>England first 6 overs Over 51.5</x:v>
      </x:c>
      <x:c r="L343" s="23" t="n">
        <x:v>0.44</x:v>
      </x:c>
      <x:c r="M343" s="9" t="str">
        <x:v>L</x:v>
      </x:c>
      <x:c r="N343" s="9" t="n">
        <x:f>IF(M343="W",1,IF(M343="L",0,""))</x:f>
        <x:v>0</x:v>
      </x:c>
      <x:c r="O343" s="24" t="n">
        <x:f>IF(OR(M343="W",M343="L"),(L343-N343)^2,"")</x:f>
        <x:v>0.1936</x:v>
      </x:c>
      <x:c r="P343" s="9" t="str">
        <x:v>YES</x:v>
      </x:c>
      <x:c r="Q343" s="9" t="str">
        <x:v>40-49</x:v>
      </x:c>
      <x:c r="R343" s="9" t="str">
        <x:v>NO</x:v>
      </x:c>
      <x:c r="S343" s="10" t="str">
        <x:v>ESPNcricinfo/Cricbuzz/Guardian final</x:v>
      </x:c>
      <x:c r="T343" s="10" t="str">
        <x:f>IF(IFERROR(ISNUMBER(SEARCH("http",S343)),FALSE),"YES","NO")</x:f>
        <x:v>NO</x:v>
      </x:c>
      <x:c r="U343" s="10" t="str">
        <x:v>NO</x:v>
      </x:c>
      <x:c r="V343" s="10" t="str">
        <x:v>NO</x:v>
      </x:c>
      <x:c r="W343" s="10" t="str">
        <x:v>LEGACY_UNVERIFIED_SNAPSHOT: no immutable cutoff/model/source packet</x:v>
      </x:c>
      <x:c r="X343" s="10" t="str">
        <x:v>exact_complement_selection</x:v>
      </x:c>
    </x:row>
    <x:row r="344">
      <x:c r="A344" s="9" t="n">
        <x:v>340</x:v>
      </x:c>
      <x:c r="B344" s="9" t="str">
        <x:v>CRIC-WT20-20260625-ENG-WI</x:v>
      </x:c>
      <x:c r="C344" s="25" t="str">
        <x:v>2026-06-25</x:v>
      </x:c>
      <x:c r="D344" s="9" t="str">
        <x:v>Cricket</x:v>
      </x:c>
      <x:c r="E344" s="9" t="str">
        <x:v>Cricket/WT20I</x:v>
      </x:c>
      <x:c r="F344" s="10" t="str">
        <x:v>England Women vs West Indies Women</x:v>
      </x:c>
      <x:c r="G344" s="10" t="str">
        <x:v>ICC Women T20 World Cup Group B</x:v>
      </x:c>
      <x:c r="H344" s="10" t="str">
        <x:v>England innings 175.5 and PP 51.5</x:v>
      </x:c>
      <x:c r="I344" s="9" t="n">
        <x:v>4</x:v>
      </x:c>
      <x:c r="J344" s="10" t="str">
        <x:v>England 20 overs Over 175.5</x:v>
      </x:c>
      <x:c r="K344" s="9" t="str">
        <x:v>England 20 overs Over 175.5</x:v>
      </x:c>
      <x:c r="L344" s="23" t="n">
        <x:v>0.4</x:v>
      </x:c>
      <x:c r="M344" s="9" t="str">
        <x:v>W</x:v>
      </x:c>
      <x:c r="N344" s="9" t="n">
        <x:f>IF(M344="W",1,IF(M344="L",0,""))</x:f>
        <x:v>1</x:v>
      </x:c>
      <x:c r="O344" s="24" t="n">
        <x:f>IF(OR(M344="W",M344="L"),(L344-N344)^2,"")</x:f>
        <x:v>0.36</x:v>
      </x:c>
      <x:c r="P344" s="9" t="str">
        <x:v>YES</x:v>
      </x:c>
      <x:c r="Q344" s="9" t="str">
        <x:v>40-49</x:v>
      </x:c>
      <x:c r="R344" s="9" t="str">
        <x:v>NO</x:v>
      </x:c>
      <x:c r="S344" s="10" t="str">
        <x:v>ESPNcricinfo/Cricbuzz/Guardian final</x:v>
      </x:c>
      <x:c r="T344" s="10" t="str">
        <x:f>IF(IFERROR(ISNUMBER(SEARCH("http",S344)),FALSE),"YES","NO")</x:f>
        <x:v>NO</x:v>
      </x:c>
      <x:c r="U344" s="10" t="str">
        <x:v>NO</x:v>
      </x:c>
      <x:c r="V344" s="10" t="str">
        <x:v>NO</x:v>
      </x:c>
      <x:c r="W344" s="10" t="str">
        <x:v>LEGACY_UNVERIFIED_SNAPSHOT: no immutable cutoff/model/source packet</x:v>
      </x:c>
      <x:c r="X344" s="10" t="str">
        <x:v>projection_error; rank_error; exact_complement_selection</x:v>
      </x:c>
    </x:row>
    <x:row r="345">
      <x:c r="A345" s="9" t="n">
        <x:v>341</x:v>
      </x:c>
      <x:c r="B345" s="9" t="str">
        <x:v>BASK-ACB-20260625-BAR-VBC</x:v>
      </x:c>
      <x:c r="C345" s="25" t="str">
        <x:v>2026-06-25</x:v>
      </x:c>
      <x:c r="D345" s="9" t="str">
        <x:v>Basketball</x:v>
      </x:c>
      <x:c r="E345" s="9" t="str">
        <x:v>Basketball/Spain ACB</x:v>
      </x:c>
      <x:c r="F345" s="10" t="str">
        <x:v>FC Barcelona vs Valencia Basket</x:v>
      </x:c>
      <x:c r="G345" s="10" t="str">
        <x:v>Liga Endesa Finals Game 4</x:v>
      </x:c>
      <x:c r="H345" s="10" t="str">
        <x:v>Q1, 1H and full total</x:v>
      </x:c>
      <x:c r="I345" s="9" t="n">
        <x:v>1</x:v>
      </x:c>
      <x:c r="J345" s="10" t="str">
        <x:v>Combined 1st Quarter Under 42.5</x:v>
      </x:c>
      <x:c r="K345" s="9" t="str">
        <x:v>Combined 1st Quarter Under 42.5</x:v>
      </x:c>
      <x:c r="L345" s="23" t="n">
        <x:v>0.64</x:v>
      </x:c>
      <x:c r="M345" s="9" t="str">
        <x:v>L</x:v>
      </x:c>
      <x:c r="N345" s="9" t="n">
        <x:f>IF(M345="W",1,IF(M345="L",0,""))</x:f>
        <x:v>0</x:v>
      </x:c>
      <x:c r="O345" s="24" t="n">
        <x:f>IF(OR(M345="W",M345="L"),(L345-N345)^2,"")</x:f>
        <x:v>0.4096</x:v>
      </x:c>
      <x:c r="P345" s="9" t="str">
        <x:v>YES</x:v>
      </x:c>
      <x:c r="Q345" s="9" t="str">
        <x:v>60-69</x:v>
      </x:c>
      <x:c r="R345" s="9" t="str">
        <x:v>NO</x:v>
      </x:c>
      <x:c r="S345" s="10" t="str">
        <x:v>ACB live page; LiveScore/SportyTrader</x:v>
      </x:c>
      <x:c r="T345" s="10" t="str">
        <x:f>IF(IFERROR(ISNUMBER(SEARCH("http",S345)),FALSE),"YES","NO")</x:f>
        <x:v>NO</x:v>
      </x:c>
      <x:c r="U345" s="10" t="str">
        <x:v>NO</x:v>
      </x:c>
      <x:c r="V345" s="10" t="str">
        <x:v>NO</x:v>
      </x:c>
      <x:c r="W345" s="10" t="str">
        <x:v>LEGACY_UNVERIFIED_SNAPSHOT: no immutable cutoff/model/source packet</x:v>
      </x:c>
      <x:c r="X345" s="10" t="str">
        <x:v>projection_error; rank_error; exact_complement_selection</x:v>
      </x:c>
    </x:row>
    <x:row r="346">
      <x:c r="A346" s="9" t="n">
        <x:v>342</x:v>
      </x:c>
      <x:c r="B346" s="9" t="str">
        <x:v>BASK-ACB-20260625-BAR-VBC</x:v>
      </x:c>
      <x:c r="C346" s="25" t="str">
        <x:v>2026-06-25</x:v>
      </x:c>
      <x:c r="D346" s="9" t="str">
        <x:v>Basketball</x:v>
      </x:c>
      <x:c r="E346" s="9" t="str">
        <x:v>Basketball/Spain ACB</x:v>
      </x:c>
      <x:c r="F346" s="10" t="str">
        <x:v>FC Barcelona vs Valencia Basket</x:v>
      </x:c>
      <x:c r="G346" s="10" t="str">
        <x:v>Liga Endesa Finals Game 4</x:v>
      </x:c>
      <x:c r="H346" s="10" t="str">
        <x:v>Q1, 1H and full total</x:v>
      </x:c>
      <x:c r="I346" s="9" t="n">
        <x:v>2</x:v>
      </x:c>
      <x:c r="J346" s="10" t="str">
        <x:v>Combined 1st Half Under 85.5</x:v>
      </x:c>
      <x:c r="K346" s="9" t="str">
        <x:v>Combined 1st Half Under 85.5</x:v>
      </x:c>
      <x:c r="L346" s="23" t="n">
        <x:v>0.58</x:v>
      </x:c>
      <x:c r="M346" s="9" t="str">
        <x:v>W</x:v>
      </x:c>
      <x:c r="N346" s="9" t="n">
        <x:f>IF(M346="W",1,IF(M346="L",0,""))</x:f>
        <x:v>1</x:v>
      </x:c>
      <x:c r="O346" s="24" t="n">
        <x:f>IF(OR(M346="W",M346="L"),(L346-N346)^2,"")</x:f>
        <x:v>0.17640000000000003</x:v>
      </x:c>
      <x:c r="P346" s="9" t="str">
        <x:v>YES</x:v>
      </x:c>
      <x:c r="Q346" s="9" t="str">
        <x:v>50-59</x:v>
      </x:c>
      <x:c r="R346" s="9" t="str">
        <x:v>NO</x:v>
      </x:c>
      <x:c r="S346" s="10" t="str">
        <x:v>ACB live page; LiveScore/SportyTrader</x:v>
      </x:c>
      <x:c r="T346" s="10" t="str">
        <x:f>IF(IFERROR(ISNUMBER(SEARCH("http",S346)),FALSE),"YES","NO")</x:f>
        <x:v>NO</x:v>
      </x:c>
      <x:c r="U346" s="10" t="str">
        <x:v>NO</x:v>
      </x:c>
      <x:c r="V346" s="10" t="str">
        <x:v>NO</x:v>
      </x:c>
      <x:c r="W346" s="10" t="str">
        <x:v>LEGACY_UNVERIFIED_SNAPSHOT: no immutable cutoff/model/source packet</x:v>
      </x:c>
      <x:c r="X346" s="10" t="str">
        <x:v>exact_complement_selection</x:v>
      </x:c>
    </x:row>
    <x:row r="347">
      <x:c r="A347" s="9" t="n">
        <x:v>343</x:v>
      </x:c>
      <x:c r="B347" s="9" t="str">
        <x:v>BASK-ACB-20260625-BAR-VBC</x:v>
      </x:c>
      <x:c r="C347" s="25" t="str">
        <x:v>2026-06-25</x:v>
      </x:c>
      <x:c r="D347" s="9" t="str">
        <x:v>Basketball</x:v>
      </x:c>
      <x:c r="E347" s="9" t="str">
        <x:v>Basketball/Spain ACB</x:v>
      </x:c>
      <x:c r="F347" s="10" t="str">
        <x:v>FC Barcelona vs Valencia Basket</x:v>
      </x:c>
      <x:c r="G347" s="10" t="str">
        <x:v>Liga Endesa Finals Game 4</x:v>
      </x:c>
      <x:c r="H347" s="10" t="str">
        <x:v>Q1, 1H and full total</x:v>
      </x:c>
      <x:c r="I347" s="9" t="n">
        <x:v>3</x:v>
      </x:c>
      <x:c r="J347" s="10" t="str">
        <x:v>Combined Total Under 177.5</x:v>
      </x:c>
      <x:c r="K347" s="9" t="str">
        <x:v>Combined Total Under 177.5</x:v>
      </x:c>
      <x:c r="L347" s="23" t="n">
        <x:v>0.55</x:v>
      </x:c>
      <x:c r="M347" s="9" t="str">
        <x:v>L</x:v>
      </x:c>
      <x:c r="N347" s="9" t="n">
        <x:f>IF(M347="W",1,IF(M347="L",0,""))</x:f>
        <x:v>0</x:v>
      </x:c>
      <x:c r="O347" s="24" t="n">
        <x:f>IF(OR(M347="W",M347="L"),(L347-N347)^2,"")</x:f>
        <x:v>0.30250000000000005</x:v>
      </x:c>
      <x:c r="P347" s="9" t="str">
        <x:v>YES</x:v>
      </x:c>
      <x:c r="Q347" s="9" t="str">
        <x:v>50-59</x:v>
      </x:c>
      <x:c r="R347" s="9" t="str">
        <x:v>NO</x:v>
      </x:c>
      <x:c r="S347" s="10" t="str">
        <x:v>ACB live page; LiveScore/SportyTrader</x:v>
      </x:c>
      <x:c r="T347" s="10" t="str">
        <x:f>IF(IFERROR(ISNUMBER(SEARCH("http",S347)),FALSE),"YES","NO")</x:f>
        <x:v>NO</x:v>
      </x:c>
      <x:c r="U347" s="10" t="str">
        <x:v>NO</x:v>
      </x:c>
      <x:c r="V347" s="10" t="str">
        <x:v>NO</x:v>
      </x:c>
      <x:c r="W347" s="10" t="str">
        <x:v>LEGACY_UNVERIFIED_SNAPSHOT: no immutable cutoff/model/source packet</x:v>
      </x:c>
      <x:c r="X347" s="10" t="str">
        <x:v>exact_complement_selection</x:v>
      </x:c>
    </x:row>
    <x:row r="348">
      <x:c r="A348" s="9" t="n">
        <x:v>344</x:v>
      </x:c>
      <x:c r="B348" s="9" t="str">
        <x:v>BASK-ACB-20260625-BAR-VBC</x:v>
      </x:c>
      <x:c r="C348" s="25" t="str">
        <x:v>2026-06-25</x:v>
      </x:c>
      <x:c r="D348" s="9" t="str">
        <x:v>Basketball</x:v>
      </x:c>
      <x:c r="E348" s="9" t="str">
        <x:v>Basketball/Spain ACB</x:v>
      </x:c>
      <x:c r="F348" s="10" t="str">
        <x:v>FC Barcelona vs Valencia Basket</x:v>
      </x:c>
      <x:c r="G348" s="10" t="str">
        <x:v>Liga Endesa Finals Game 4</x:v>
      </x:c>
      <x:c r="H348" s="10" t="str">
        <x:v>Q1, 1H and full total</x:v>
      </x:c>
      <x:c r="I348" s="9" t="n">
        <x:v>4</x:v>
      </x:c>
      <x:c r="J348" s="10" t="str">
        <x:v>Combined Total Over 177.5</x:v>
      </x:c>
      <x:c r="K348" s="9" t="str">
        <x:v>Combined Total Over 177.5</x:v>
      </x:c>
      <x:c r="L348" s="23" t="n">
        <x:v>0.45</x:v>
      </x:c>
      <x:c r="M348" s="9" t="str">
        <x:v>W</x:v>
      </x:c>
      <x:c r="N348" s="9" t="n">
        <x:f>IF(M348="W",1,IF(M348="L",0,""))</x:f>
        <x:v>1</x:v>
      </x:c>
      <x:c r="O348" s="24" t="n">
        <x:f>IF(OR(M348="W",M348="L"),(L348-N348)^2,"")</x:f>
        <x:v>0.30250000000000005</x:v>
      </x:c>
      <x:c r="P348" s="9" t="str">
        <x:v>YES</x:v>
      </x:c>
      <x:c r="Q348" s="9" t="str">
        <x:v>40-49</x:v>
      </x:c>
      <x:c r="R348" s="9" t="str">
        <x:v>NO</x:v>
      </x:c>
      <x:c r="S348" s="10" t="str">
        <x:v>ACB live page; LiveScore/SportyTrader</x:v>
      </x:c>
      <x:c r="T348" s="10" t="str">
        <x:f>IF(IFERROR(ISNUMBER(SEARCH("http",S348)),FALSE),"YES","NO")</x:f>
        <x:v>NO</x:v>
      </x:c>
      <x:c r="U348" s="10" t="str">
        <x:v>NO</x:v>
      </x:c>
      <x:c r="V348" s="10" t="str">
        <x:v>NO</x:v>
      </x:c>
      <x:c r="W348" s="10" t="str">
        <x:v>LEGACY_UNVERIFIED_SNAPSHOT: no immutable cutoff/model/source packet</x:v>
      </x:c>
      <x:c r="X348" s="10" t="str">
        <x:v>exact_complement_selection</x:v>
      </x:c>
    </x:row>
    <x:row r="349">
      <x:c r="A349" s="9" t="n">
        <x:v>345</x:v>
      </x:c>
      <x:c r="B349" s="9" t="str">
        <x:v>BASK-ACB-20260625-BAR-VBC</x:v>
      </x:c>
      <x:c r="C349" s="25" t="str">
        <x:v>2026-06-25</x:v>
      </x:c>
      <x:c r="D349" s="9" t="str">
        <x:v>Basketball</x:v>
      </x:c>
      <x:c r="E349" s="9" t="str">
        <x:v>Basketball/Spain ACB</x:v>
      </x:c>
      <x:c r="F349" s="10" t="str">
        <x:v>FC Barcelona vs Valencia Basket</x:v>
      </x:c>
      <x:c r="G349" s="10" t="str">
        <x:v>Liga Endesa Finals Game 4</x:v>
      </x:c>
      <x:c r="H349" s="10" t="str">
        <x:v>Q1, 1H and full total</x:v>
      </x:c>
      <x:c r="I349" s="9" t="n">
        <x:v>5</x:v>
      </x:c>
      <x:c r="J349" s="10" t="str">
        <x:v>Combined 1st Half Over 85.5</x:v>
      </x:c>
      <x:c r="K349" s="9" t="str">
        <x:v>Combined 1st Half Over 85.5</x:v>
      </x:c>
      <x:c r="L349" s="23" t="n">
        <x:v>0.42</x:v>
      </x:c>
      <x:c r="M349" s="9" t="str">
        <x:v>L</x:v>
      </x:c>
      <x:c r="N349" s="9" t="n">
        <x:f>IF(M349="W",1,IF(M349="L",0,""))</x:f>
        <x:v>0</x:v>
      </x:c>
      <x:c r="O349" s="24" t="n">
        <x:f>IF(OR(M349="W",M349="L"),(L349-N349)^2,"")</x:f>
        <x:v>0.17639999999999997</x:v>
      </x:c>
      <x:c r="P349" s="9" t="str">
        <x:v>YES</x:v>
      </x:c>
      <x:c r="Q349" s="9" t="str">
        <x:v>40-49</x:v>
      </x:c>
      <x:c r="R349" s="9" t="str">
        <x:v>NO</x:v>
      </x:c>
      <x:c r="S349" s="10" t="str">
        <x:v>ACB live page; LiveScore/SportyTrader</x:v>
      </x:c>
      <x:c r="T349" s="10" t="str">
        <x:f>IF(IFERROR(ISNUMBER(SEARCH("http",S349)),FALSE),"YES","NO")</x:f>
        <x:v>NO</x:v>
      </x:c>
      <x:c r="U349" s="10" t="str">
        <x:v>NO</x:v>
      </x:c>
      <x:c r="V349" s="10" t="str">
        <x:v>NO</x:v>
      </x:c>
      <x:c r="W349" s="10" t="str">
        <x:v>LEGACY_UNVERIFIED_SNAPSHOT: no immutable cutoff/model/source packet</x:v>
      </x:c>
      <x:c r="X349" s="10" t="str">
        <x:v>exact_complement_selection</x:v>
      </x:c>
    </x:row>
    <x:row r="350">
      <x:c r="A350" s="9" t="n">
        <x:v>346</x:v>
      </x:c>
      <x:c r="B350" s="9" t="str">
        <x:v>BASK-ACB-20260625-BAR-VBC</x:v>
      </x:c>
      <x:c r="C350" s="25" t="str">
        <x:v>2026-06-25</x:v>
      </x:c>
      <x:c r="D350" s="9" t="str">
        <x:v>Basketball</x:v>
      </x:c>
      <x:c r="E350" s="9" t="str">
        <x:v>Basketball/Spain ACB</x:v>
      </x:c>
      <x:c r="F350" s="10" t="str">
        <x:v>FC Barcelona vs Valencia Basket</x:v>
      </x:c>
      <x:c r="G350" s="10" t="str">
        <x:v>Liga Endesa Finals Game 4</x:v>
      </x:c>
      <x:c r="H350" s="10" t="str">
        <x:v>Q1, 1H and full total</x:v>
      </x:c>
      <x:c r="I350" s="9" t="n">
        <x:v>6</x:v>
      </x:c>
      <x:c r="J350" s="10" t="str">
        <x:v>Combined 1st Quarter Over 42.5</x:v>
      </x:c>
      <x:c r="K350" s="9" t="str">
        <x:v>Combined 1st Quarter Over 42.5</x:v>
      </x:c>
      <x:c r="L350" s="23" t="n">
        <x:v>0.36</x:v>
      </x:c>
      <x:c r="M350" s="9" t="str">
        <x:v>W</x:v>
      </x:c>
      <x:c r="N350" s="9" t="n">
        <x:f>IF(M350="W",1,IF(M350="L",0,""))</x:f>
        <x:v>1</x:v>
      </x:c>
      <x:c r="O350" s="24" t="n">
        <x:f>IF(OR(M350="W",M350="L"),(L350-N350)^2,"")</x:f>
        <x:v>0.4096</x:v>
      </x:c>
      <x:c r="P350" s="9" t="str">
        <x:v>YES</x:v>
      </x:c>
      <x:c r="Q350" s="9" t="str">
        <x:v>30-39</x:v>
      </x:c>
      <x:c r="R350" s="9" t="str">
        <x:v>NO</x:v>
      </x:c>
      <x:c r="S350" s="10" t="str">
        <x:v>ACB live page; LiveScore/SportyTrader</x:v>
      </x:c>
      <x:c r="T350" s="10" t="str">
        <x:f>IF(IFERROR(ISNUMBER(SEARCH("http",S350)),FALSE),"YES","NO")</x:f>
        <x:v>NO</x:v>
      </x:c>
      <x:c r="U350" s="10" t="str">
        <x:v>NO</x:v>
      </x:c>
      <x:c r="V350" s="10" t="str">
        <x:v>NO</x:v>
      </x:c>
      <x:c r="W350" s="10" t="str">
        <x:v>LEGACY_UNVERIFIED_SNAPSHOT: no immutable cutoff/model/source packet</x:v>
      </x:c>
      <x:c r="X350" s="10" t="str">
        <x:v>projection_error; rank_error; exact_complement_selection</x:v>
      </x:c>
    </x:row>
    <x:row r="351">
      <x:c r="A351" s="9" t="n">
        <x:v>347</x:v>
      </x:c>
      <x:c r="B351" s="9" t="str">
        <x:v>SOC-WC2026-20260625-SUI-CAN</x:v>
      </x:c>
      <x:c r="C351" s="25" t="str">
        <x:v>2026-06-25</x:v>
      </x:c>
      <x:c r="D351" s="9" t="str">
        <x:v>Soccer</x:v>
      </x:c>
      <x:c r="E351" s="9" t="str">
        <x:v>Soccer/FIFA World Cup</x:v>
      </x:c>
      <x:c r="F351" s="10" t="str">
        <x:v>Switzerland vs Canada</x:v>
      </x:c>
      <x:c r="G351" s="10" t="str">
        <x:v>FIFA World Cup Group B</x:v>
      </x:c>
      <x:c r="H351" s="10" t="str">
        <x:v>1H 0.5 and full 2.5 goals</x:v>
      </x:c>
      <x:c r="I351" s="9" t="n">
        <x:v>1</x:v>
      </x:c>
      <x:c r="J351" s="10" t="str">
        <x:v>Combined 1H Goals Over 0.5</x:v>
      </x:c>
      <x:c r="K351" s="9" t="str">
        <x:v>Combined 1H Goals Over 0.5</x:v>
      </x:c>
      <x:c r="L351" s="23" t="n">
        <x:v>0.62</x:v>
      </x:c>
      <x:c r="M351" s="9" t="str">
        <x:v>L</x:v>
      </x:c>
      <x:c r="N351" s="9" t="n">
        <x:f>IF(M351="W",1,IF(M351="L",0,""))</x:f>
        <x:v>0</x:v>
      </x:c>
      <x:c r="O351" s="24" t="n">
        <x:f>IF(OR(M351="W",M351="L"),(L351-N351)^2,"")</x:f>
        <x:v>0.3844</x:v>
      </x:c>
      <x:c r="P351" s="9" t="str">
        <x:v>YES</x:v>
      </x:c>
      <x:c r="Q351" s="9" t="str">
        <x:v>60-69</x:v>
      </x:c>
      <x:c r="R351" s="9" t="str">
        <x:v>NO</x:v>
      </x:c>
      <x:c r="S351" s="10" t="str">
        <x:v>Guardian/AP/ESPN/FOX final</x:v>
      </x:c>
      <x:c r="T351" s="10" t="str">
        <x:f>IF(IFERROR(ISNUMBER(SEARCH("http",S351)),FALSE),"YES","NO")</x:f>
        <x:v>NO</x:v>
      </x:c>
      <x:c r="U351" s="10" t="str">
        <x:v>NO</x:v>
      </x:c>
      <x:c r="V351" s="10" t="str">
        <x:v>NO</x:v>
      </x:c>
      <x:c r="W351" s="10" t="str">
        <x:v>LEGACY_UNVERIFIED_SNAPSHOT: no immutable cutoff/model/source packet</x:v>
      </x:c>
      <x:c r="X351" s="10" t="str">
        <x:v>projection_error; rank_error; exact_complement_selection</x:v>
      </x:c>
    </x:row>
    <x:row r="352">
      <x:c r="A352" s="9" t="n">
        <x:v>348</x:v>
      </x:c>
      <x:c r="B352" s="9" t="str">
        <x:v>SOC-WC2026-20260625-SUI-CAN</x:v>
      </x:c>
      <x:c r="C352" s="25" t="str">
        <x:v>2026-06-25</x:v>
      </x:c>
      <x:c r="D352" s="9" t="str">
        <x:v>Soccer</x:v>
      </x:c>
      <x:c r="E352" s="9" t="str">
        <x:v>Soccer/FIFA World Cup</x:v>
      </x:c>
      <x:c r="F352" s="10" t="str">
        <x:v>Switzerland vs Canada</x:v>
      </x:c>
      <x:c r="G352" s="10" t="str">
        <x:v>FIFA World Cup Group B</x:v>
      </x:c>
      <x:c r="H352" s="10" t="str">
        <x:v>1H 0.5 and full 2.5 goals</x:v>
      </x:c>
      <x:c r="I352" s="9" t="n">
        <x:v>2</x:v>
      </x:c>
      <x:c r="J352" s="10" t="str">
        <x:v>Combined Total Goals Under 2.5</x:v>
      </x:c>
      <x:c r="K352" s="9" t="str">
        <x:v>Combined Total Goals Under 2.5</x:v>
      </x:c>
      <x:c r="L352" s="23" t="n">
        <x:v>0.52</x:v>
      </x:c>
      <x:c r="M352" s="9" t="str">
        <x:v>L</x:v>
      </x:c>
      <x:c r="N352" s="9" t="n">
        <x:f>IF(M352="W",1,IF(M352="L",0,""))</x:f>
        <x:v>0</x:v>
      </x:c>
      <x:c r="O352" s="24" t="n">
        <x:f>IF(OR(M352="W",M352="L"),(L352-N352)^2,"")</x:f>
        <x:v>0.27040000000000003</x:v>
      </x:c>
      <x:c r="P352" s="9" t="str">
        <x:v>YES</x:v>
      </x:c>
      <x:c r="Q352" s="9" t="str">
        <x:v>50-59</x:v>
      </x:c>
      <x:c r="R352" s="9" t="str">
        <x:v>NO</x:v>
      </x:c>
      <x:c r="S352" s="10" t="str">
        <x:v>Guardian/AP/ESPN/FOX final</x:v>
      </x:c>
      <x:c r="T352" s="10" t="str">
        <x:f>IF(IFERROR(ISNUMBER(SEARCH("http",S352)),FALSE),"YES","NO")</x:f>
        <x:v>NO</x:v>
      </x:c>
      <x:c r="U352" s="10" t="str">
        <x:v>NO</x:v>
      </x:c>
      <x:c r="V352" s="10" t="str">
        <x:v>NO</x:v>
      </x:c>
      <x:c r="W352" s="10" t="str">
        <x:v>LEGACY_UNVERIFIED_SNAPSHOT: no immutable cutoff/model/source packet</x:v>
      </x:c>
      <x:c r="X352" s="10" t="str">
        <x:v>exact_complement_selection</x:v>
      </x:c>
    </x:row>
    <x:row r="353">
      <x:c r="A353" s="9" t="n">
        <x:v>349</x:v>
      </x:c>
      <x:c r="B353" s="9" t="str">
        <x:v>SOC-WC2026-20260625-SUI-CAN</x:v>
      </x:c>
      <x:c r="C353" s="25" t="str">
        <x:v>2026-06-25</x:v>
      </x:c>
      <x:c r="D353" s="9" t="str">
        <x:v>Soccer</x:v>
      </x:c>
      <x:c r="E353" s="9" t="str">
        <x:v>Soccer/FIFA World Cup</x:v>
      </x:c>
      <x:c r="F353" s="10" t="str">
        <x:v>Switzerland vs Canada</x:v>
      </x:c>
      <x:c r="G353" s="10" t="str">
        <x:v>FIFA World Cup Group B</x:v>
      </x:c>
      <x:c r="H353" s="10" t="str">
        <x:v>1H 0.5 and full 2.5 goals</x:v>
      </x:c>
      <x:c r="I353" s="9" t="n">
        <x:v>3</x:v>
      </x:c>
      <x:c r="J353" s="10" t="str">
        <x:v>Combined Total Goals Over 2.5</x:v>
      </x:c>
      <x:c r="K353" s="9" t="str">
        <x:v>Combined Total Goals Over 2.5</x:v>
      </x:c>
      <x:c r="L353" s="23" t="n">
        <x:v>0.48</x:v>
      </x:c>
      <x:c r="M353" s="9" t="str">
        <x:v>W</x:v>
      </x:c>
      <x:c r="N353" s="9" t="n">
        <x:f>IF(M353="W",1,IF(M353="L",0,""))</x:f>
        <x:v>1</x:v>
      </x:c>
      <x:c r="O353" s="24" t="n">
        <x:f>IF(OR(M353="W",M353="L"),(L353-N353)^2,"")</x:f>
        <x:v>0.27040000000000003</x:v>
      </x:c>
      <x:c r="P353" s="9" t="str">
        <x:v>YES</x:v>
      </x:c>
      <x:c r="Q353" s="9" t="str">
        <x:v>40-49</x:v>
      </x:c>
      <x:c r="R353" s="9" t="str">
        <x:v>NO</x:v>
      </x:c>
      <x:c r="S353" s="10" t="str">
        <x:v>Guardian/AP/ESPN/FOX final</x:v>
      </x:c>
      <x:c r="T353" s="10" t="str">
        <x:f>IF(IFERROR(ISNUMBER(SEARCH("http",S353)),FALSE),"YES","NO")</x:f>
        <x:v>NO</x:v>
      </x:c>
      <x:c r="U353" s="10" t="str">
        <x:v>NO</x:v>
      </x:c>
      <x:c r="V353" s="10" t="str">
        <x:v>NO</x:v>
      </x:c>
      <x:c r="W353" s="10" t="str">
        <x:v>LEGACY_UNVERIFIED_SNAPSHOT: no immutable cutoff/model/source packet</x:v>
      </x:c>
      <x:c r="X353" s="10" t="str">
        <x:v>exact_complement_selection</x:v>
      </x:c>
    </x:row>
    <x:row r="354">
      <x:c r="A354" s="9" t="n">
        <x:v>350</x:v>
      </x:c>
      <x:c r="B354" s="9" t="str">
        <x:v>SOC-WC2026-20260625-SUI-CAN</x:v>
      </x:c>
      <x:c r="C354" s="25" t="str">
        <x:v>2026-06-25</x:v>
      </x:c>
      <x:c r="D354" s="9" t="str">
        <x:v>Soccer</x:v>
      </x:c>
      <x:c r="E354" s="9" t="str">
        <x:v>Soccer/FIFA World Cup</x:v>
      </x:c>
      <x:c r="F354" s="10" t="str">
        <x:v>Switzerland vs Canada</x:v>
      </x:c>
      <x:c r="G354" s="10" t="str">
        <x:v>FIFA World Cup Group B</x:v>
      </x:c>
      <x:c r="H354" s="10" t="str">
        <x:v>1H 0.5 and full 2.5 goals</x:v>
      </x:c>
      <x:c r="I354" s="9" t="n">
        <x:v>4</x:v>
      </x:c>
      <x:c r="J354" s="10" t="str">
        <x:v>Combined 1H Goals Under 0.5</x:v>
      </x:c>
      <x:c r="K354" s="9" t="str">
        <x:v>Combined 1H Goals Under 0.5</x:v>
      </x:c>
      <x:c r="L354" s="23" t="n">
        <x:v>0.38</x:v>
      </x:c>
      <x:c r="M354" s="9" t="str">
        <x:v>W</x:v>
      </x:c>
      <x:c r="N354" s="9" t="n">
        <x:f>IF(M354="W",1,IF(M354="L",0,""))</x:f>
        <x:v>1</x:v>
      </x:c>
      <x:c r="O354" s="24" t="n">
        <x:f>IF(OR(M354="W",M354="L"),(L354-N354)^2,"")</x:f>
        <x:v>0.3844</x:v>
      </x:c>
      <x:c r="P354" s="9" t="str">
        <x:v>YES</x:v>
      </x:c>
      <x:c r="Q354" s="9" t="str">
        <x:v>30-39</x:v>
      </x:c>
      <x:c r="R354" s="9" t="str">
        <x:v>NO</x:v>
      </x:c>
      <x:c r="S354" s="10" t="str">
        <x:v>Guardian/AP/ESPN/FOX final</x:v>
      </x:c>
      <x:c r="T354" s="10" t="str">
        <x:f>IF(IFERROR(ISNUMBER(SEARCH("http",S354)),FALSE),"YES","NO")</x:f>
        <x:v>NO</x:v>
      </x:c>
      <x:c r="U354" s="10" t="str">
        <x:v>NO</x:v>
      </x:c>
      <x:c r="V354" s="10" t="str">
        <x:v>NO</x:v>
      </x:c>
      <x:c r="W354" s="10" t="str">
        <x:v>LEGACY_UNVERIFIED_SNAPSHOT: no immutable cutoff/model/source packet</x:v>
      </x:c>
      <x:c r="X354" s="10" t="str">
        <x:v>projection_error; rank_error; exact_complement_selection</x:v>
      </x:c>
    </x:row>
    <x:row r="355">
      <x:c r="A355" s="9" t="n">
        <x:v>351</x:v>
      </x:c>
      <x:c r="B355" s="9" t="str">
        <x:v>SOC-WC2026-20260625-BIH-QAT</x:v>
      </x:c>
      <x:c r="C355" s="25" t="str">
        <x:v>2026-06-25</x:v>
      </x:c>
      <x:c r="D355" s="9" t="str">
        <x:v>Soccer</x:v>
      </x:c>
      <x:c r="E355" s="9" t="str">
        <x:v>Soccer/FIFA World Cup</x:v>
      </x:c>
      <x:c r="F355" s="10" t="str">
        <x:v>Bosnia-Herzegovina vs Qatar</x:v>
      </x:c>
      <x:c r="G355" s="10" t="str">
        <x:v>FIFA World Cup Group B</x:v>
      </x:c>
      <x:c r="H355" s="10" t="str">
        <x:v>1H 0.5 and full 2.5 goals</x:v>
      </x:c>
      <x:c r="I355" s="9" t="n">
        <x:v>1</x:v>
      </x:c>
      <x:c r="J355" s="10" t="str">
        <x:v>Combined 1H Goals Over 0.5</x:v>
      </x:c>
      <x:c r="K355" s="9" t="str">
        <x:v>Combined 1H Goals Over 0.5</x:v>
      </x:c>
      <x:c r="L355" s="23" t="n">
        <x:v>0.65</x:v>
      </x:c>
      <x:c r="M355" s="9" t="str">
        <x:v>W</x:v>
      </x:c>
      <x:c r="N355" s="9" t="n">
        <x:f>IF(M355="W",1,IF(M355="L",0,""))</x:f>
        <x:v>1</x:v>
      </x:c>
      <x:c r="O355" s="24" t="n">
        <x:f>IF(OR(M355="W",M355="L"),(L355-N355)^2,"")</x:f>
        <x:v>0.12249999999999998</x:v>
      </x:c>
      <x:c r="P355" s="9" t="str">
        <x:v>YES</x:v>
      </x:c>
      <x:c r="Q355" s="9" t="str">
        <x:v>60-69</x:v>
      </x:c>
      <x:c r="R355" s="9" t="str">
        <x:v>NO</x:v>
      </x:c>
      <x:c r="S355" s="10" t="str">
        <x:v>Guardian/AP/ESPN/FOX final</x:v>
      </x:c>
      <x:c r="T355" s="10" t="str">
        <x:f>IF(IFERROR(ISNUMBER(SEARCH("http",S355)),FALSE),"YES","NO")</x:f>
        <x:v>NO</x:v>
      </x:c>
      <x:c r="U355" s="10" t="str">
        <x:v>NO</x:v>
      </x:c>
      <x:c r="V355" s="10" t="str">
        <x:v>NO</x:v>
      </x:c>
      <x:c r="W355" s="10" t="str">
        <x:v>LEGACY_UNVERIFIED_SNAPSHOT: no immutable cutoff/model/source packet</x:v>
      </x:c>
      <x:c r="X355" s="10" t="str">
        <x:v>exact_complement_selection</x:v>
      </x:c>
    </x:row>
    <x:row r="356">
      <x:c r="A356" s="9" t="n">
        <x:v>352</x:v>
      </x:c>
      <x:c r="B356" s="9" t="str">
        <x:v>SOC-WC2026-20260625-BIH-QAT</x:v>
      </x:c>
      <x:c r="C356" s="25" t="str">
        <x:v>2026-06-25</x:v>
      </x:c>
      <x:c r="D356" s="9" t="str">
        <x:v>Soccer</x:v>
      </x:c>
      <x:c r="E356" s="9" t="str">
        <x:v>Soccer/FIFA World Cup</x:v>
      </x:c>
      <x:c r="F356" s="10" t="str">
        <x:v>Bosnia-Herzegovina vs Qatar</x:v>
      </x:c>
      <x:c r="G356" s="10" t="str">
        <x:v>FIFA World Cup Group B</x:v>
      </x:c>
      <x:c r="H356" s="10" t="str">
        <x:v>1H 0.5 and full 2.5 goals</x:v>
      </x:c>
      <x:c r="I356" s="9" t="n">
        <x:v>2</x:v>
      </x:c>
      <x:c r="J356" s="10" t="str">
        <x:v>Combined Total Goals Over 2.5</x:v>
      </x:c>
      <x:c r="K356" s="9" t="str">
        <x:v>Combined Total Goals Over 2.5</x:v>
      </x:c>
      <x:c r="L356" s="23" t="n">
        <x:v>0.58</x:v>
      </x:c>
      <x:c r="M356" s="9" t="str">
        <x:v>W</x:v>
      </x:c>
      <x:c r="N356" s="9" t="n">
        <x:f>IF(M356="W",1,IF(M356="L",0,""))</x:f>
        <x:v>1</x:v>
      </x:c>
      <x:c r="O356" s="24" t="n">
        <x:f>IF(OR(M356="W",M356="L"),(L356-N356)^2,"")</x:f>
        <x:v>0.17640000000000003</x:v>
      </x:c>
      <x:c r="P356" s="9" t="str">
        <x:v>YES</x:v>
      </x:c>
      <x:c r="Q356" s="9" t="str">
        <x:v>50-59</x:v>
      </x:c>
      <x:c r="R356" s="9" t="str">
        <x:v>NO</x:v>
      </x:c>
      <x:c r="S356" s="10" t="str">
        <x:v>Guardian/AP/ESPN/FOX final</x:v>
      </x:c>
      <x:c r="T356" s="10" t="str">
        <x:f>IF(IFERROR(ISNUMBER(SEARCH("http",S356)),FALSE),"YES","NO")</x:f>
        <x:v>NO</x:v>
      </x:c>
      <x:c r="U356" s="10" t="str">
        <x:v>NO</x:v>
      </x:c>
      <x:c r="V356" s="10" t="str">
        <x:v>NO</x:v>
      </x:c>
      <x:c r="W356" s="10" t="str">
        <x:v>LEGACY_UNVERIFIED_SNAPSHOT: no immutable cutoff/model/source packet</x:v>
      </x:c>
      <x:c r="X356" s="10" t="str">
        <x:v>exact_complement_selection</x:v>
      </x:c>
    </x:row>
    <x:row r="357">
      <x:c r="A357" s="9" t="n">
        <x:v>353</x:v>
      </x:c>
      <x:c r="B357" s="9" t="str">
        <x:v>SOC-WC2026-20260625-BIH-QAT</x:v>
      </x:c>
      <x:c r="C357" s="25" t="str">
        <x:v>2026-06-25</x:v>
      </x:c>
      <x:c r="D357" s="9" t="str">
        <x:v>Soccer</x:v>
      </x:c>
      <x:c r="E357" s="9" t="str">
        <x:v>Soccer/FIFA World Cup</x:v>
      </x:c>
      <x:c r="F357" s="10" t="str">
        <x:v>Bosnia-Herzegovina vs Qatar</x:v>
      </x:c>
      <x:c r="G357" s="10" t="str">
        <x:v>FIFA World Cup Group B</x:v>
      </x:c>
      <x:c r="H357" s="10" t="str">
        <x:v>1H 0.5 and full 2.5 goals</x:v>
      </x:c>
      <x:c r="I357" s="9" t="n">
        <x:v>3</x:v>
      </x:c>
      <x:c r="J357" s="10" t="str">
        <x:v>Combined Total Goals Under 2.5</x:v>
      </x:c>
      <x:c r="K357" s="9" t="str">
        <x:v>Combined Total Goals Under 2.5</x:v>
      </x:c>
      <x:c r="L357" s="23" t="n">
        <x:v>0.42</x:v>
      </x:c>
      <x:c r="M357" s="9" t="str">
        <x:v>L</x:v>
      </x:c>
      <x:c r="N357" s="9" t="n">
        <x:f>IF(M357="W",1,IF(M357="L",0,""))</x:f>
        <x:v>0</x:v>
      </x:c>
      <x:c r="O357" s="24" t="n">
        <x:f>IF(OR(M357="W",M357="L"),(L357-N357)^2,"")</x:f>
        <x:v>0.17639999999999997</x:v>
      </x:c>
      <x:c r="P357" s="9" t="str">
        <x:v>YES</x:v>
      </x:c>
      <x:c r="Q357" s="9" t="str">
        <x:v>40-49</x:v>
      </x:c>
      <x:c r="R357" s="9" t="str">
        <x:v>NO</x:v>
      </x:c>
      <x:c r="S357" s="10" t="str">
        <x:v>Guardian/AP/ESPN/FOX final</x:v>
      </x:c>
      <x:c r="T357" s="10" t="str">
        <x:f>IF(IFERROR(ISNUMBER(SEARCH("http",S357)),FALSE),"YES","NO")</x:f>
        <x:v>NO</x:v>
      </x:c>
      <x:c r="U357" s="10" t="str">
        <x:v>NO</x:v>
      </x:c>
      <x:c r="V357" s="10" t="str">
        <x:v>NO</x:v>
      </x:c>
      <x:c r="W357" s="10" t="str">
        <x:v>LEGACY_UNVERIFIED_SNAPSHOT: no immutable cutoff/model/source packet</x:v>
      </x:c>
      <x:c r="X357" s="10" t="str">
        <x:v>exact_complement_selection</x:v>
      </x:c>
    </x:row>
    <x:row r="358">
      <x:c r="A358" s="9" t="n">
        <x:v>354</x:v>
      </x:c>
      <x:c r="B358" s="9" t="str">
        <x:v>SOC-WC2026-20260625-BIH-QAT</x:v>
      </x:c>
      <x:c r="C358" s="25" t="str">
        <x:v>2026-06-25</x:v>
      </x:c>
      <x:c r="D358" s="9" t="str">
        <x:v>Soccer</x:v>
      </x:c>
      <x:c r="E358" s="9" t="str">
        <x:v>Soccer/FIFA World Cup</x:v>
      </x:c>
      <x:c r="F358" s="10" t="str">
        <x:v>Bosnia-Herzegovina vs Qatar</x:v>
      </x:c>
      <x:c r="G358" s="10" t="str">
        <x:v>FIFA World Cup Group B</x:v>
      </x:c>
      <x:c r="H358" s="10" t="str">
        <x:v>1H 0.5 and full 2.5 goals</x:v>
      </x:c>
      <x:c r="I358" s="9" t="n">
        <x:v>4</x:v>
      </x:c>
      <x:c r="J358" s="10" t="str">
        <x:v>Combined 1H Goals Under 0.5</x:v>
      </x:c>
      <x:c r="K358" s="9" t="str">
        <x:v>Combined 1H Goals Under 0.5</x:v>
      </x:c>
      <x:c r="L358" s="23" t="n">
        <x:v>0.35</x:v>
      </x:c>
      <x:c r="M358" s="9" t="str">
        <x:v>L</x:v>
      </x:c>
      <x:c r="N358" s="9" t="n">
        <x:f>IF(M358="W",1,IF(M358="L",0,""))</x:f>
        <x:v>0</x:v>
      </x:c>
      <x:c r="O358" s="24" t="n">
        <x:f>IF(OR(M358="W",M358="L"),(L358-N358)^2,"")</x:f>
        <x:v>0.12249999999999998</x:v>
      </x:c>
      <x:c r="P358" s="9" t="str">
        <x:v>YES</x:v>
      </x:c>
      <x:c r="Q358" s="9" t="str">
        <x:v>30-39</x:v>
      </x:c>
      <x:c r="R358" s="9" t="str">
        <x:v>NO</x:v>
      </x:c>
      <x:c r="S358" s="10" t="str">
        <x:v>Guardian/AP/ESPN/FOX final</x:v>
      </x:c>
      <x:c r="T358" s="10" t="str">
        <x:f>IF(IFERROR(ISNUMBER(SEARCH("http",S358)),FALSE),"YES","NO")</x:f>
        <x:v>NO</x:v>
      </x:c>
      <x:c r="U358" s="10" t="str">
        <x:v>NO</x:v>
      </x:c>
      <x:c r="V358" s="10" t="str">
        <x:v>NO</x:v>
      </x:c>
      <x:c r="W358" s="10" t="str">
        <x:v>LEGACY_UNVERIFIED_SNAPSHOT: no immutable cutoff/model/source packet</x:v>
      </x:c>
      <x:c r="X358" s="10" t="str">
        <x:v>exact_complement_selection</x:v>
      </x:c>
    </x:row>
    <x:row r="359">
      <x:c r="A359" s="9" t="n">
        <x:v>355</x:v>
      </x:c>
      <x:c r="B359" s="9" t="str">
        <x:v>AFL-20260627-CARL-WCE</x:v>
      </x:c>
      <x:c r="C359" s="25" t="str">
        <x:v>2026-06-27</x:v>
      </x:c>
      <x:c r="D359" s="9" t="str">
        <x:v>Australian football</x:v>
      </x:c>
      <x:c r="E359" s="9" t="str">
        <x:v>AFL</x:v>
      </x:c>
      <x:c r="F359" s="10" t="str">
        <x:v>Carlton Blues vs West Coast Eagles</x:v>
      </x:c>
      <x:c r="G359" s="10" t="str">
        <x:v>AFL Round 16</x:v>
      </x:c>
      <x:c r="H359" s="10" t="str">
        <x:v>Blues -35.5 Eagles +35.5 total 174.5</x:v>
      </x:c>
      <x:c r="I359" s="9" t="n">
        <x:v>1</x:v>
      </x:c>
      <x:c r="J359" s="10" t="str">
        <x:v>Combined Total Under 174.5</x:v>
      </x:c>
      <x:c r="K359" s="9" t="str">
        <x:v>Under 174.5</x:v>
      </x:c>
      <x:c r="L359" s="23" t="n">
        <x:v>0.61</x:v>
      </x:c>
      <x:c r="M359" s="9" t="str">
        <x:v>L</x:v>
      </x:c>
      <x:c r="N359" s="9" t="n">
        <x:f>IF(M359="W",1,IF(M359="L",0,""))</x:f>
        <x:v>0</x:v>
      </x:c>
      <x:c r="O359" s="24" t="n">
        <x:f>IF(OR(M359="W",M359="L"),(L359-N359)^2,"")</x:f>
        <x:v>0.3721</x:v>
      </x:c>
      <x:c r="P359" s="9" t="str">
        <x:v>YES</x:v>
      </x:c>
      <x:c r="Q359" s="9" t="str">
        <x:v>60-69</x:v>
      </x:c>
      <x:c r="R359" s="9" t="str">
        <x:v>NO</x:v>
      </x:c>
      <x:c r="S359" s="10" t="str">
        <x:v>ESPN AFL summary API</x:v>
      </x:c>
      <x:c r="T359" s="10" t="str">
        <x:f>IF(IFERROR(ISNUMBER(SEARCH("http",S359)),FALSE),"YES","NO")</x:f>
        <x:v>NO</x:v>
      </x:c>
      <x:c r="U359" s="10" t="str">
        <x:v>NO</x:v>
      </x:c>
      <x:c r="V359" s="10" t="str">
        <x:v>NO</x:v>
      </x:c>
      <x:c r="W359" s="10" t="str">
        <x:v>LEGACY_UNVERIFIED_SNAPSHOT: no immutable cutoff/model/source packet</x:v>
      </x:c>
      <x:c r="X359" s="10" t="str">
        <x:v>projection_error; rank_error; exact_complement_selection</x:v>
      </x:c>
    </x:row>
    <x:row r="360">
      <x:c r="A360" s="9" t="n">
        <x:v>356</x:v>
      </x:c>
      <x:c r="B360" s="9" t="str">
        <x:v>AFL-20260627-CARL-WCE</x:v>
      </x:c>
      <x:c r="C360" s="25" t="str">
        <x:v>2026-06-27</x:v>
      </x:c>
      <x:c r="D360" s="9" t="str">
        <x:v>Australian football</x:v>
      </x:c>
      <x:c r="E360" s="9" t="str">
        <x:v>AFL</x:v>
      </x:c>
      <x:c r="F360" s="10" t="str">
        <x:v>Carlton Blues vs West Coast Eagles</x:v>
      </x:c>
      <x:c r="G360" s="10" t="str">
        <x:v>AFL Round 16</x:v>
      </x:c>
      <x:c r="H360" s="10" t="str">
        <x:v>Blues -35.5 Eagles +35.5 total 174.5</x:v>
      </x:c>
      <x:c r="I360" s="9" t="n">
        <x:v>2</x:v>
      </x:c>
      <x:c r="J360" s="10" t="str">
        <x:v>West Coast Eagles +35.5</x:v>
      </x:c>
      <x:c r="K360" s="9" t="str">
        <x:v>+35.5</x:v>
      </x:c>
      <x:c r="L360" s="23" t="n">
        <x:v>0.57</x:v>
      </x:c>
      <x:c r="M360" s="9" t="str">
        <x:v>L</x:v>
      </x:c>
      <x:c r="N360" s="9" t="n">
        <x:f>IF(M360="W",1,IF(M360="L",0,""))</x:f>
        <x:v>0</x:v>
      </x:c>
      <x:c r="O360" s="24" t="n">
        <x:f>IF(OR(M360="W",M360="L"),(L360-N360)^2,"")</x:f>
        <x:v>0.32489999999999997</x:v>
      </x:c>
      <x:c r="P360" s="9" t="str">
        <x:v>YES</x:v>
      </x:c>
      <x:c r="Q360" s="9" t="str">
        <x:v>50-59</x:v>
      </x:c>
      <x:c r="R360" s="9" t="str">
        <x:v>NO</x:v>
      </x:c>
      <x:c r="S360" s="10" t="str">
        <x:v>ESPN AFL summary API</x:v>
      </x:c>
      <x:c r="T360" s="10" t="str">
        <x:f>IF(IFERROR(ISNUMBER(SEARCH("http",S360)),FALSE),"YES","NO")</x:f>
        <x:v>NO</x:v>
      </x:c>
      <x:c r="U360" s="10" t="str">
        <x:v>NO</x:v>
      </x:c>
      <x:c r="V360" s="10" t="str">
        <x:v>NO</x:v>
      </x:c>
      <x:c r="W360" s="10" t="str">
        <x:v>LEGACY_UNVERIFIED_SNAPSHOT: no immutable cutoff/model/source packet</x:v>
      </x:c>
      <x:c r="X360" s="10" t="str">
        <x:v>projection_error; rank_error; exact_complement_selection</x:v>
      </x:c>
    </x:row>
    <x:row r="361">
      <x:c r="A361" s="9" t="n">
        <x:v>357</x:v>
      </x:c>
      <x:c r="B361" s="9" t="str">
        <x:v>AFL-20260627-CARL-WCE</x:v>
      </x:c>
      <x:c r="C361" s="25" t="str">
        <x:v>2026-06-27</x:v>
      </x:c>
      <x:c r="D361" s="9" t="str">
        <x:v>Australian football</x:v>
      </x:c>
      <x:c r="E361" s="9" t="str">
        <x:v>AFL</x:v>
      </x:c>
      <x:c r="F361" s="10" t="str">
        <x:v>Carlton Blues vs West Coast Eagles</x:v>
      </x:c>
      <x:c r="G361" s="10" t="str">
        <x:v>AFL Round 16</x:v>
      </x:c>
      <x:c r="H361" s="10" t="str">
        <x:v>Blues -35.5 Eagles +35.5 total 174.5</x:v>
      </x:c>
      <x:c r="I361" s="9" t="n">
        <x:v>3</x:v>
      </x:c>
      <x:c r="J361" s="10" t="str">
        <x:v>Carlton Blues -35.5</x:v>
      </x:c>
      <x:c r="K361" s="9" t="str">
        <x:v>-35.5</x:v>
      </x:c>
      <x:c r="L361" s="23" t="n">
        <x:v>0.43</x:v>
      </x:c>
      <x:c r="M361" s="9" t="str">
        <x:v>W</x:v>
      </x:c>
      <x:c r="N361" s="9" t="n">
        <x:f>IF(M361="W",1,IF(M361="L",0,""))</x:f>
        <x:v>1</x:v>
      </x:c>
      <x:c r="O361" s="24" t="n">
        <x:f>IF(OR(M361="W",M361="L"),(L361-N361)^2,"")</x:f>
        <x:v>0.3249000000000001</x:v>
      </x:c>
      <x:c r="P361" s="9" t="str">
        <x:v>YES</x:v>
      </x:c>
      <x:c r="Q361" s="9" t="str">
        <x:v>40-49</x:v>
      </x:c>
      <x:c r="R361" s="9" t="str">
        <x:v>NO</x:v>
      </x:c>
      <x:c r="S361" s="10" t="str">
        <x:v>ESPN AFL summary API</x:v>
      </x:c>
      <x:c r="T361" s="10" t="str">
        <x:f>IF(IFERROR(ISNUMBER(SEARCH("http",S361)),FALSE),"YES","NO")</x:f>
        <x:v>NO</x:v>
      </x:c>
      <x:c r="U361" s="10" t="str">
        <x:v>NO</x:v>
      </x:c>
      <x:c r="V361" s="10" t="str">
        <x:v>NO</x:v>
      </x:c>
      <x:c r="W361" s="10" t="str">
        <x:v>LEGACY_UNVERIFIED_SNAPSHOT: no immutable cutoff/model/source packet</x:v>
      </x:c>
      <x:c r="X361" s="10" t="str">
        <x:v>exact_complement_selection</x:v>
      </x:c>
    </x:row>
    <x:row r="362">
      <x:c r="A362" s="9" t="n">
        <x:v>358</x:v>
      </x:c>
      <x:c r="B362" s="9" t="str">
        <x:v>AFL-20260627-CARL-WCE</x:v>
      </x:c>
      <x:c r="C362" s="25" t="str">
        <x:v>2026-06-27</x:v>
      </x:c>
      <x:c r="D362" s="9" t="str">
        <x:v>Australian football</x:v>
      </x:c>
      <x:c r="E362" s="9" t="str">
        <x:v>AFL</x:v>
      </x:c>
      <x:c r="F362" s="10" t="str">
        <x:v>Carlton Blues vs West Coast Eagles</x:v>
      </x:c>
      <x:c r="G362" s="10" t="str">
        <x:v>AFL Round 16</x:v>
      </x:c>
      <x:c r="H362" s="10" t="str">
        <x:v>Blues -35.5 Eagles +35.5 total 174.5</x:v>
      </x:c>
      <x:c r="I362" s="9" t="n">
        <x:v>4</x:v>
      </x:c>
      <x:c r="J362" s="10" t="str">
        <x:v>Combined Total Over 174.5</x:v>
      </x:c>
      <x:c r="K362" s="9" t="str">
        <x:v>Over 174.5</x:v>
      </x:c>
      <x:c r="L362" s="23" t="n">
        <x:v>0.39</x:v>
      </x:c>
      <x:c r="M362" s="9" t="str">
        <x:v>W</x:v>
      </x:c>
      <x:c r="N362" s="9" t="n">
        <x:f>IF(M362="W",1,IF(M362="L",0,""))</x:f>
        <x:v>1</x:v>
      </x:c>
      <x:c r="O362" s="24" t="n">
        <x:f>IF(OR(M362="W",M362="L"),(L362-N362)^2,"")</x:f>
        <x:v>0.3721</x:v>
      </x:c>
      <x:c r="P362" s="9" t="str">
        <x:v>YES</x:v>
      </x:c>
      <x:c r="Q362" s="9" t="str">
        <x:v>30-39</x:v>
      </x:c>
      <x:c r="R362" s="9" t="str">
        <x:v>NO</x:v>
      </x:c>
      <x:c r="S362" s="10" t="str">
        <x:v>ESPN AFL summary API</x:v>
      </x:c>
      <x:c r="T362" s="10" t="str">
        <x:f>IF(IFERROR(ISNUMBER(SEARCH("http",S362)),FALSE),"YES","NO")</x:f>
        <x:v>NO</x:v>
      </x:c>
      <x:c r="U362" s="10" t="str">
        <x:v>NO</x:v>
      </x:c>
      <x:c r="V362" s="10" t="str">
        <x:v>NO</x:v>
      </x:c>
      <x:c r="W362" s="10" t="str">
        <x:v>LEGACY_UNVERIFIED_SNAPSHOT: no immutable cutoff/model/source packet</x:v>
      </x:c>
      <x:c r="X362" s="10" t="str">
        <x:v>projection_error; rank_error; exact_complement_selection</x:v>
      </x:c>
    </x:row>
    <x:row r="363">
      <x:c r="A363" s="9" t="n">
        <x:v>359</x:v>
      </x:c>
      <x:c r="B363" s="9" t="str">
        <x:v>AFL-20260627-COLL-RICH</x:v>
      </x:c>
      <x:c r="C363" s="25" t="str">
        <x:v>2026-06-27</x:v>
      </x:c>
      <x:c r="D363" s="9" t="str">
        <x:v>Australian football</x:v>
      </x:c>
      <x:c r="E363" s="9" t="str">
        <x:v>AFL</x:v>
      </x:c>
      <x:c r="F363" s="10" t="str">
        <x:v>Collingwood Magpies vs Richmond Tigers</x:v>
      </x:c>
      <x:c r="G363" s="10" t="str">
        <x:v>AFL Round 16 live-start</x:v>
      </x:c>
      <x:c r="H363" s="10" t="str">
        <x:v>Magpies -38.5 Tigers +38.5 total 165.5</x:v>
      </x:c>
      <x:c r="I363" s="9" t="n">
        <x:v>1</x:v>
      </x:c>
      <x:c r="J363" s="10" t="str">
        <x:v>Richmond Tigers +38.5</x:v>
      </x:c>
      <x:c r="K363" s="9" t="str">
        <x:v>+38.5</x:v>
      </x:c>
      <x:c r="L363" s="23" t="n">
        <x:v>0.56</x:v>
      </x:c>
      <x:c r="M363" s="9" t="str">
        <x:v>W</x:v>
      </x:c>
      <x:c r="N363" s="9" t="n">
        <x:f>IF(M363="W",1,IF(M363="L",0,""))</x:f>
        <x:v>1</x:v>
      </x:c>
      <x:c r="O363" s="24" t="n">
        <x:f>IF(OR(M363="W",M363="L"),(L363-N363)^2,"")</x:f>
        <x:v>0.19359999999999997</x:v>
      </x:c>
      <x:c r="P363" s="9" t="str">
        <x:v>YES</x:v>
      </x:c>
      <x:c r="Q363" s="9" t="str">
        <x:v>50-59</x:v>
      </x:c>
      <x:c r="R363" s="9" t="str">
        <x:v>NO</x:v>
      </x:c>
      <x:c r="S363" s="10" t="str">
        <x:v>ESPN AFL summary API final; synced from v3 settlement addendum</x:v>
      </x:c>
      <x:c r="T363" s="10" t="str">
        <x:f>IF(IFERROR(ISNUMBER(SEARCH("http",S363)),FALSE),"YES","NO")</x:f>
        <x:v>NO</x:v>
      </x:c>
      <x:c r="U363" s="10" t="str">
        <x:v>NO</x:v>
      </x:c>
      <x:c r="V363" s="10" t="str">
        <x:v>NO</x:v>
      </x:c>
      <x:c r="W363" s="10" t="str">
        <x:v>LEGACY_UNVERIFIED_SNAPSHOT: no immutable cutoff/model/source packet</x:v>
      </x:c>
      <x:c r="X363" s="10" t="str">
        <x:v>exact_complement_selection</x:v>
      </x:c>
    </x:row>
    <x:row r="364">
      <x:c r="A364" s="9" t="n">
        <x:v>360</x:v>
      </x:c>
      <x:c r="B364" s="9" t="str">
        <x:v>AFL-20260627-COLL-RICH</x:v>
      </x:c>
      <x:c r="C364" s="25" t="str">
        <x:v>2026-06-27</x:v>
      </x:c>
      <x:c r="D364" s="9" t="str">
        <x:v>Australian football</x:v>
      </x:c>
      <x:c r="E364" s="9" t="str">
        <x:v>AFL</x:v>
      </x:c>
      <x:c r="F364" s="10" t="str">
        <x:v>Collingwood Magpies vs Richmond Tigers</x:v>
      </x:c>
      <x:c r="G364" s="10" t="str">
        <x:v>AFL Round 16 live-start</x:v>
      </x:c>
      <x:c r="H364" s="10" t="str">
        <x:v>Magpies -38.5 Tigers +38.5 total 165.5</x:v>
      </x:c>
      <x:c r="I364" s="9" t="n">
        <x:v>2</x:v>
      </x:c>
      <x:c r="J364" s="10" t="str">
        <x:v>Combined Total Under 165.5</x:v>
      </x:c>
      <x:c r="K364" s="9" t="str">
        <x:v>Under 165.5</x:v>
      </x:c>
      <x:c r="L364" s="23" t="n">
        <x:v>0.52</x:v>
      </x:c>
      <x:c r="M364" s="9" t="str">
        <x:v>L</x:v>
      </x:c>
      <x:c r="N364" s="9" t="n">
        <x:f>IF(M364="W",1,IF(M364="L",0,""))</x:f>
        <x:v>0</x:v>
      </x:c>
      <x:c r="O364" s="24" t="n">
        <x:f>IF(OR(M364="W",M364="L"),(L364-N364)^2,"")</x:f>
        <x:v>0.27040000000000003</x:v>
      </x:c>
      <x:c r="P364" s="9" t="str">
        <x:v>YES</x:v>
      </x:c>
      <x:c r="Q364" s="9" t="str">
        <x:v>50-59</x:v>
      </x:c>
      <x:c r="R364" s="9" t="str">
        <x:v>NO</x:v>
      </x:c>
      <x:c r="S364" s="10" t="str">
        <x:v>ESPN AFL summary API final; synced from v3 settlement addendum</x:v>
      </x:c>
      <x:c r="T364" s="10" t="str">
        <x:f>IF(IFERROR(ISNUMBER(SEARCH("http",S364)),FALSE),"YES","NO")</x:f>
        <x:v>NO</x:v>
      </x:c>
      <x:c r="U364" s="10" t="str">
        <x:v>NO</x:v>
      </x:c>
      <x:c r="V364" s="10" t="str">
        <x:v>NO</x:v>
      </x:c>
      <x:c r="W364" s="10" t="str">
        <x:v>LEGACY_UNVERIFIED_SNAPSHOT: no immutable cutoff/model/source packet</x:v>
      </x:c>
      <x:c r="X364" s="10" t="str">
        <x:v>exact_complement_selection</x:v>
      </x:c>
    </x:row>
    <x:row r="365">
      <x:c r="A365" s="9" t="n">
        <x:v>361</x:v>
      </x:c>
      <x:c r="B365" s="9" t="str">
        <x:v>AFL-20260627-COLL-RICH</x:v>
      </x:c>
      <x:c r="C365" s="25" t="str">
        <x:v>2026-06-27</x:v>
      </x:c>
      <x:c r="D365" s="9" t="str">
        <x:v>Australian football</x:v>
      </x:c>
      <x:c r="E365" s="9" t="str">
        <x:v>AFL</x:v>
      </x:c>
      <x:c r="F365" s="10" t="str">
        <x:v>Collingwood Magpies vs Richmond Tigers</x:v>
      </x:c>
      <x:c r="G365" s="10" t="str">
        <x:v>AFL Round 16 live-start</x:v>
      </x:c>
      <x:c r="H365" s="10" t="str">
        <x:v>Magpies -38.5 Tigers +38.5 total 165.5</x:v>
      </x:c>
      <x:c r="I365" s="9" t="n">
        <x:v>3</x:v>
      </x:c>
      <x:c r="J365" s="10" t="str">
        <x:v>Combined Total Over 165.5</x:v>
      </x:c>
      <x:c r="K365" s="9" t="str">
        <x:v>Over 165.5</x:v>
      </x:c>
      <x:c r="L365" s="23" t="n">
        <x:v>0.48</x:v>
      </x:c>
      <x:c r="M365" s="9" t="str">
        <x:v>W</x:v>
      </x:c>
      <x:c r="N365" s="9" t="n">
        <x:f>IF(M365="W",1,IF(M365="L",0,""))</x:f>
        <x:v>1</x:v>
      </x:c>
      <x:c r="O365" s="24" t="n">
        <x:f>IF(OR(M365="W",M365="L"),(L365-N365)^2,"")</x:f>
        <x:v>0.27040000000000003</x:v>
      </x:c>
      <x:c r="P365" s="9" t="str">
        <x:v>YES</x:v>
      </x:c>
      <x:c r="Q365" s="9" t="str">
        <x:v>40-49</x:v>
      </x:c>
      <x:c r="R365" s="9" t="str">
        <x:v>NO</x:v>
      </x:c>
      <x:c r="S365" s="10" t="str">
        <x:v>ESPN AFL summary API final; synced from v3 settlement addendum</x:v>
      </x:c>
      <x:c r="T365" s="10" t="str">
        <x:f>IF(IFERROR(ISNUMBER(SEARCH("http",S365)),FALSE),"YES","NO")</x:f>
        <x:v>NO</x:v>
      </x:c>
      <x:c r="U365" s="10" t="str">
        <x:v>NO</x:v>
      </x:c>
      <x:c r="V365" s="10" t="str">
        <x:v>NO</x:v>
      </x:c>
      <x:c r="W365" s="10" t="str">
        <x:v>LEGACY_UNVERIFIED_SNAPSHOT: no immutable cutoff/model/source packet</x:v>
      </x:c>
      <x:c r="X365" s="10" t="str">
        <x:v>exact_complement_selection</x:v>
      </x:c>
    </x:row>
    <x:row r="366">
      <x:c r="A366" s="9" t="n">
        <x:v>362</x:v>
      </x:c>
      <x:c r="B366" s="9" t="str">
        <x:v>AFL-20260627-COLL-RICH</x:v>
      </x:c>
      <x:c r="C366" s="25" t="str">
        <x:v>2026-06-27</x:v>
      </x:c>
      <x:c r="D366" s="9" t="str">
        <x:v>Australian football</x:v>
      </x:c>
      <x:c r="E366" s="9" t="str">
        <x:v>AFL</x:v>
      </x:c>
      <x:c r="F366" s="10" t="str">
        <x:v>Collingwood Magpies vs Richmond Tigers</x:v>
      </x:c>
      <x:c r="G366" s="10" t="str">
        <x:v>AFL Round 16 live-start</x:v>
      </x:c>
      <x:c r="H366" s="10" t="str">
        <x:v>Magpies -38.5 Tigers +38.5 total 165.5</x:v>
      </x:c>
      <x:c r="I366" s="9" t="n">
        <x:v>4</x:v>
      </x:c>
      <x:c r="J366" s="10" t="str">
        <x:v>Collingwood Magpies -38.5</x:v>
      </x:c>
      <x:c r="K366" s="9" t="str">
        <x:v>-38.5</x:v>
      </x:c>
      <x:c r="L366" s="23" t="n">
        <x:v>0.44</x:v>
      </x:c>
      <x:c r="M366" s="9" t="str">
        <x:v>L</x:v>
      </x:c>
      <x:c r="N366" s="9" t="n">
        <x:f>IF(M366="W",1,IF(M366="L",0,""))</x:f>
        <x:v>0</x:v>
      </x:c>
      <x:c r="O366" s="24" t="n">
        <x:f>IF(OR(M366="W",M366="L"),(L366-N366)^2,"")</x:f>
        <x:v>0.1936</x:v>
      </x:c>
      <x:c r="P366" s="9" t="str">
        <x:v>YES</x:v>
      </x:c>
      <x:c r="Q366" s="9" t="str">
        <x:v>40-49</x:v>
      </x:c>
      <x:c r="R366" s="9" t="str">
        <x:v>NO</x:v>
      </x:c>
      <x:c r="S366" s="10" t="str">
        <x:v>ESPN AFL summary API final; synced from v3 settlement addendum</x:v>
      </x:c>
      <x:c r="T366" s="10" t="str">
        <x:f>IF(IFERROR(ISNUMBER(SEARCH("http",S366)),FALSE),"YES","NO")</x:f>
        <x:v>NO</x:v>
      </x:c>
      <x:c r="U366" s="10" t="str">
        <x:v>NO</x:v>
      </x:c>
      <x:c r="V366" s="10" t="str">
        <x:v>NO</x:v>
      </x:c>
      <x:c r="W366" s="10" t="str">
        <x:v>LEGACY_UNVERIFIED_SNAPSHOT: no immutable cutoff/model/source packet</x:v>
      </x:c>
      <x:c r="X366" s="10" t="str">
        <x:v>exact_complement_selection</x:v>
      </x:c>
    </x:row>
    <x:row r="367">
      <x:c r="A367" s="9" t="n">
        <x:v>363</x:v>
      </x:c>
      <x:c r="B367" s="9" t="str">
        <x:v>AFL-20260627-COLL-RICH-LIVE1220</x:v>
      </x:c>
      <x:c r="C367" s="25" t="str">
        <x:v>2026-06-27</x:v>
      </x:c>
      <x:c r="D367" s="9" t="str">
        <x:v>Australian football</x:v>
      </x:c>
      <x:c r="E367" s="9" t="str">
        <x:v>AFL</x:v>
      </x:c>
      <x:c r="F367" s="10" t="str">
        <x:v>Collingwood Magpies vs Richmond Tigers</x:v>
      </x:c>
      <x:c r="G367" s="10" t="str">
        <x:v>AFL Round 16 live recheck</x:v>
      </x:c>
      <x:c r="H367" s="10" t="str">
        <x:v>Magpies -38.5 Tigers +38.5 total 165.5</x:v>
      </x:c>
      <x:c r="I367" s="9" t="n">
        <x:v>1</x:v>
      </x:c>
      <x:c r="J367" s="10" t="str">
        <x:v>Richmond Tigers +38.5</x:v>
      </x:c>
      <x:c r="K367" s="9" t="str">
        <x:v>+38.5</x:v>
      </x:c>
      <x:c r="L367" s="23" t="n">
        <x:v>0.63</x:v>
      </x:c>
      <x:c r="M367" s="9" t="str">
        <x:v>W</x:v>
      </x:c>
      <x:c r="N367" s="9" t="n">
        <x:f>IF(M367="W",1,IF(M367="L",0,""))</x:f>
        <x:v>1</x:v>
      </x:c>
      <x:c r="O367" s="24" t="n">
        <x:f>IF(OR(M367="W",M367="L"),(L367-N367)^2,"")</x:f>
        <x:v>0.1369</x:v>
      </x:c>
      <x:c r="P367" s="9" t="str">
        <x:v>YES</x:v>
      </x:c>
      <x:c r="Q367" s="9" t="str">
        <x:v>60-69</x:v>
      </x:c>
      <x:c r="R367" s="9" t="str">
        <x:v>NO</x:v>
      </x:c>
      <x:c r="S367" s="10" t="str">
        <x:v>ESPN AFL summary API final; synced from v3 settlement addendum</x:v>
      </x:c>
      <x:c r="T367" s="10" t="str">
        <x:f>IF(IFERROR(ISNUMBER(SEARCH("http",S367)),FALSE),"YES","NO")</x:f>
        <x:v>NO</x:v>
      </x:c>
      <x:c r="U367" s="10" t="str">
        <x:v>NO</x:v>
      </x:c>
      <x:c r="V367" s="10" t="str">
        <x:v>NO</x:v>
      </x:c>
      <x:c r="W367" s="10" t="str">
        <x:v>LEGACY_UNVERIFIED_SNAPSHOT: no immutable cutoff/model/source packet</x:v>
      </x:c>
      <x:c r="X367" s="10" t="str">
        <x:v>exact_complement_selection</x:v>
      </x:c>
    </x:row>
    <x:row r="368">
      <x:c r="A368" s="9" t="n">
        <x:v>364</x:v>
      </x:c>
      <x:c r="B368" s="9" t="str">
        <x:v>AFL-20260627-COLL-RICH-LIVE1220</x:v>
      </x:c>
      <x:c r="C368" s="25" t="str">
        <x:v>2026-06-27</x:v>
      </x:c>
      <x:c r="D368" s="9" t="str">
        <x:v>Australian football</x:v>
      </x:c>
      <x:c r="E368" s="9" t="str">
        <x:v>AFL</x:v>
      </x:c>
      <x:c r="F368" s="10" t="str">
        <x:v>Collingwood Magpies vs Richmond Tigers</x:v>
      </x:c>
      <x:c r="G368" s="10" t="str">
        <x:v>AFL Round 16 live recheck</x:v>
      </x:c>
      <x:c r="H368" s="10" t="str">
        <x:v>Magpies -38.5 Tigers +38.5 total 165.5</x:v>
      </x:c>
      <x:c r="I368" s="9" t="n">
        <x:v>2</x:v>
      </x:c>
      <x:c r="J368" s="10" t="str">
        <x:v>Combined Total Under 165.5</x:v>
      </x:c>
      <x:c r="K368" s="9" t="str">
        <x:v>Under 165.5</x:v>
      </x:c>
      <x:c r="L368" s="23" t="n">
        <x:v>0.57</x:v>
      </x:c>
      <x:c r="M368" s="9" t="str">
        <x:v>L</x:v>
      </x:c>
      <x:c r="N368" s="9" t="n">
        <x:f>IF(M368="W",1,IF(M368="L",0,""))</x:f>
        <x:v>0</x:v>
      </x:c>
      <x:c r="O368" s="24" t="n">
        <x:f>IF(OR(M368="W",M368="L"),(L368-N368)^2,"")</x:f>
        <x:v>0.32489999999999997</x:v>
      </x:c>
      <x:c r="P368" s="9" t="str">
        <x:v>YES</x:v>
      </x:c>
      <x:c r="Q368" s="9" t="str">
        <x:v>50-59</x:v>
      </x:c>
      <x:c r="R368" s="9" t="str">
        <x:v>NO</x:v>
      </x:c>
      <x:c r="S368" s="10" t="str">
        <x:v>ESPN AFL summary API final; synced from v3 settlement addendum</x:v>
      </x:c>
      <x:c r="T368" s="10" t="str">
        <x:f>IF(IFERROR(ISNUMBER(SEARCH("http",S368)),FALSE),"YES","NO")</x:f>
        <x:v>NO</x:v>
      </x:c>
      <x:c r="U368" s="10" t="str">
        <x:v>NO</x:v>
      </x:c>
      <x:c r="V368" s="10" t="str">
        <x:v>NO</x:v>
      </x:c>
      <x:c r="W368" s="10" t="str">
        <x:v>LEGACY_UNVERIFIED_SNAPSHOT: no immutable cutoff/model/source packet</x:v>
      </x:c>
      <x:c r="X368" s="10" t="str">
        <x:v>exact_complement_selection</x:v>
      </x:c>
    </x:row>
    <x:row r="369">
      <x:c r="A369" s="9" t="n">
        <x:v>365</x:v>
      </x:c>
      <x:c r="B369" s="9" t="str">
        <x:v>AFL-20260627-COLL-RICH-LIVE1220</x:v>
      </x:c>
      <x:c r="C369" s="25" t="str">
        <x:v>2026-06-27</x:v>
      </x:c>
      <x:c r="D369" s="9" t="str">
        <x:v>Australian football</x:v>
      </x:c>
      <x:c r="E369" s="9" t="str">
        <x:v>AFL</x:v>
      </x:c>
      <x:c r="F369" s="10" t="str">
        <x:v>Collingwood Magpies vs Richmond Tigers</x:v>
      </x:c>
      <x:c r="G369" s="10" t="str">
        <x:v>AFL Round 16 live recheck</x:v>
      </x:c>
      <x:c r="H369" s="10" t="str">
        <x:v>Magpies -38.5 Tigers +38.5 total 165.5</x:v>
      </x:c>
      <x:c r="I369" s="9" t="n">
        <x:v>3</x:v>
      </x:c>
      <x:c r="J369" s="10" t="str">
        <x:v>Combined Total Over 165.5</x:v>
      </x:c>
      <x:c r="K369" s="9" t="str">
        <x:v>Over 165.5</x:v>
      </x:c>
      <x:c r="L369" s="23" t="n">
        <x:v>0.43</x:v>
      </x:c>
      <x:c r="M369" s="9" t="str">
        <x:v>W</x:v>
      </x:c>
      <x:c r="N369" s="9" t="n">
        <x:f>IF(M369="W",1,IF(M369="L",0,""))</x:f>
        <x:v>1</x:v>
      </x:c>
      <x:c r="O369" s="24" t="n">
        <x:f>IF(OR(M369="W",M369="L"),(L369-N369)^2,"")</x:f>
        <x:v>0.3249000000000001</x:v>
      </x:c>
      <x:c r="P369" s="9" t="str">
        <x:v>YES</x:v>
      </x:c>
      <x:c r="Q369" s="9" t="str">
        <x:v>40-49</x:v>
      </x:c>
      <x:c r="R369" s="9" t="str">
        <x:v>NO</x:v>
      </x:c>
      <x:c r="S369" s="10" t="str">
        <x:v>ESPN AFL summary API final; synced from v3 settlement addendum</x:v>
      </x:c>
      <x:c r="T369" s="10" t="str">
        <x:f>IF(IFERROR(ISNUMBER(SEARCH("http",S369)),FALSE),"YES","NO")</x:f>
        <x:v>NO</x:v>
      </x:c>
      <x:c r="U369" s="10" t="str">
        <x:v>NO</x:v>
      </x:c>
      <x:c r="V369" s="10" t="str">
        <x:v>NO</x:v>
      </x:c>
      <x:c r="W369" s="10" t="str">
        <x:v>LEGACY_UNVERIFIED_SNAPSHOT: no immutable cutoff/model/source packet</x:v>
      </x:c>
      <x:c r="X369" s="10" t="str">
        <x:v>exact_complement_selection</x:v>
      </x:c>
    </x:row>
    <x:row r="370">
      <x:c r="A370" s="9" t="n">
        <x:v>366</x:v>
      </x:c>
      <x:c r="B370" s="9" t="str">
        <x:v>AFL-20260627-COLL-RICH-LIVE1220</x:v>
      </x:c>
      <x:c r="C370" s="25" t="str">
        <x:v>2026-06-27</x:v>
      </x:c>
      <x:c r="D370" s="9" t="str">
        <x:v>Australian football</x:v>
      </x:c>
      <x:c r="E370" s="9" t="str">
        <x:v>AFL</x:v>
      </x:c>
      <x:c r="F370" s="10" t="str">
        <x:v>Collingwood Magpies vs Richmond Tigers</x:v>
      </x:c>
      <x:c r="G370" s="10" t="str">
        <x:v>AFL Round 16 live recheck</x:v>
      </x:c>
      <x:c r="H370" s="10" t="str">
        <x:v>Magpies -38.5 Tigers +38.5 total 165.5</x:v>
      </x:c>
      <x:c r="I370" s="9" t="n">
        <x:v>4</x:v>
      </x:c>
      <x:c r="J370" s="10" t="str">
        <x:v>Collingwood Magpies -38.5</x:v>
      </x:c>
      <x:c r="K370" s="9" t="str">
        <x:v>-38.5</x:v>
      </x:c>
      <x:c r="L370" s="23" t="n">
        <x:v>0.37</x:v>
      </x:c>
      <x:c r="M370" s="9" t="str">
        <x:v>L</x:v>
      </x:c>
      <x:c r="N370" s="9" t="n">
        <x:f>IF(M370="W",1,IF(M370="L",0,""))</x:f>
        <x:v>0</x:v>
      </x:c>
      <x:c r="O370" s="24" t="n">
        <x:f>IF(OR(M370="W",M370="L"),(L370-N370)^2,"")</x:f>
        <x:v>0.1369</x:v>
      </x:c>
      <x:c r="P370" s="9" t="str">
        <x:v>YES</x:v>
      </x:c>
      <x:c r="Q370" s="9" t="str">
        <x:v>30-39</x:v>
      </x:c>
      <x:c r="R370" s="9" t="str">
        <x:v>NO</x:v>
      </x:c>
      <x:c r="S370" s="10" t="str">
        <x:v>ESPN AFL summary API final; synced from v3 settlement addendum</x:v>
      </x:c>
      <x:c r="T370" s="10" t="str">
        <x:f>IF(IFERROR(ISNUMBER(SEARCH("http",S370)),FALSE),"YES","NO")</x:f>
        <x:v>NO</x:v>
      </x:c>
      <x:c r="U370" s="10" t="str">
        <x:v>NO</x:v>
      </x:c>
      <x:c r="V370" s="10" t="str">
        <x:v>NO</x:v>
      </x:c>
      <x:c r="W370" s="10" t="str">
        <x:v>LEGACY_UNVERIFIED_SNAPSHOT: no immutable cutoff/model/source packet</x:v>
      </x:c>
      <x:c r="X370" s="10" t="str">
        <x:v>exact_complement_selection</x:v>
      </x:c>
    </x:row>
    <x:row r="371">
      <x:c r="A371" s="9" t="n">
        <x:v>367</x:v>
      </x:c>
      <x:c r="B371" s="9" t="str">
        <x:v>AFL-20260627-COLL-RICH-LIVEQ4</x:v>
      </x:c>
      <x:c r="C371" s="25" t="str">
        <x:v>2026-06-27</x:v>
      </x:c>
      <x:c r="D371" s="9" t="str">
        <x:v>Australian football</x:v>
      </x:c>
      <x:c r="E371" s="9" t="str">
        <x:v>AFL</x:v>
      </x:c>
      <x:c r="F371" s="10" t="str">
        <x:v>Collingwood Magpies vs Richmond Tigers</x:v>
      </x:c>
      <x:c r="G371" s="10" t="str">
        <x:v>AFL Round 16 live re-rank</x:v>
      </x:c>
      <x:c r="H371" s="10" t="str">
        <x:v>Magpies -38.5 Tigers +38.5 total 165.5</x:v>
      </x:c>
      <x:c r="I371" s="9" t="n">
        <x:v>1</x:v>
      </x:c>
      <x:c r="J371" s="10" t="str">
        <x:v>Combined Total Over 165.5</x:v>
      </x:c>
      <x:c r="K371" s="9" t="str">
        <x:v>Over 165.5</x:v>
      </x:c>
      <x:c r="L371" s="23" t="n">
        <x:v>0.68</x:v>
      </x:c>
      <x:c r="M371" s="9" t="str">
        <x:v>W</x:v>
      </x:c>
      <x:c r="N371" s="9" t="n">
        <x:f>IF(M371="W",1,IF(M371="L",0,""))</x:f>
        <x:v>1</x:v>
      </x:c>
      <x:c r="O371" s="24" t="n">
        <x:f>IF(OR(M371="W",M371="L"),(L371-N371)^2,"")</x:f>
        <x:v>0.10239999999999996</x:v>
      </x:c>
      <x:c r="P371" s="9" t="str">
        <x:v>YES</x:v>
      </x:c>
      <x:c r="Q371" s="9" t="str">
        <x:v>60-69</x:v>
      </x:c>
      <x:c r="R371" s="9" t="str">
        <x:v>NO</x:v>
      </x:c>
      <x:c r="S371" s="10" t="str">
        <x:v>ESPN AFL summary API final; synced from v3 settlement addendum</x:v>
      </x:c>
      <x:c r="T371" s="10" t="str">
        <x:f>IF(IFERROR(ISNUMBER(SEARCH("http",S371)),FALSE),"YES","NO")</x:f>
        <x:v>NO</x:v>
      </x:c>
      <x:c r="U371" s="10" t="str">
        <x:v>NO</x:v>
      </x:c>
      <x:c r="V371" s="10" t="str">
        <x:v>NO</x:v>
      </x:c>
      <x:c r="W371" s="10" t="str">
        <x:v>LEGACY_UNVERIFIED_SNAPSHOT: no immutable cutoff/model/source packet</x:v>
      </x:c>
      <x:c r="X371" s="10" t="str">
        <x:v>exact_complement_selection</x:v>
      </x:c>
    </x:row>
    <x:row r="372">
      <x:c r="A372" s="9" t="n">
        <x:v>368</x:v>
      </x:c>
      <x:c r="B372" s="9" t="str">
        <x:v>AFL-20260627-COLL-RICH-LIVEQ4</x:v>
      </x:c>
      <x:c r="C372" s="25" t="str">
        <x:v>2026-06-27</x:v>
      </x:c>
      <x:c r="D372" s="9" t="str">
        <x:v>Australian football</x:v>
      </x:c>
      <x:c r="E372" s="9" t="str">
        <x:v>AFL</x:v>
      </x:c>
      <x:c r="F372" s="10" t="str">
        <x:v>Collingwood Magpies vs Richmond Tigers</x:v>
      </x:c>
      <x:c r="G372" s="10" t="str">
        <x:v>AFL Round 16 live re-rank</x:v>
      </x:c>
      <x:c r="H372" s="10" t="str">
        <x:v>Magpies -38.5 Tigers +38.5 total 165.5</x:v>
      </x:c>
      <x:c r="I372" s="9" t="n">
        <x:v>2</x:v>
      </x:c>
      <x:c r="J372" s="10" t="str">
        <x:v>Collingwood Magpies -38.5</x:v>
      </x:c>
      <x:c r="K372" s="9" t="str">
        <x:v>-38.5</x:v>
      </x:c>
      <x:c r="L372" s="23" t="n">
        <x:v>0.58</x:v>
      </x:c>
      <x:c r="M372" s="9" t="str">
        <x:v>L</x:v>
      </x:c>
      <x:c r="N372" s="9" t="n">
        <x:f>IF(M372="W",1,IF(M372="L",0,""))</x:f>
        <x:v>0</x:v>
      </x:c>
      <x:c r="O372" s="24" t="n">
        <x:f>IF(OR(M372="W",M372="L"),(L372-N372)^2,"")</x:f>
        <x:v>0.3364</x:v>
      </x:c>
      <x:c r="P372" s="9" t="str">
        <x:v>YES</x:v>
      </x:c>
      <x:c r="Q372" s="9" t="str">
        <x:v>50-59</x:v>
      </x:c>
      <x:c r="R372" s="9" t="str">
        <x:v>NO</x:v>
      </x:c>
      <x:c r="S372" s="10" t="str">
        <x:v>ESPN AFL summary API final; synced from v3 settlement addendum</x:v>
      </x:c>
      <x:c r="T372" s="10" t="str">
        <x:f>IF(IFERROR(ISNUMBER(SEARCH("http",S372)),FALSE),"YES","NO")</x:f>
        <x:v>NO</x:v>
      </x:c>
      <x:c r="U372" s="10" t="str">
        <x:v>NO</x:v>
      </x:c>
      <x:c r="V372" s="10" t="str">
        <x:v>NO</x:v>
      </x:c>
      <x:c r="W372" s="10" t="str">
        <x:v>LEGACY_UNVERIFIED_SNAPSHOT: no immutable cutoff/model/source packet</x:v>
      </x:c>
      <x:c r="X372" s="10" t="str">
        <x:v>exact_complement_selection</x:v>
      </x:c>
    </x:row>
    <x:row r="373">
      <x:c r="A373" s="9" t="n">
        <x:v>369</x:v>
      </x:c>
      <x:c r="B373" s="9" t="str">
        <x:v>AFL-20260627-COLL-RICH-LIVEQ4</x:v>
      </x:c>
      <x:c r="C373" s="25" t="str">
        <x:v>2026-06-27</x:v>
      </x:c>
      <x:c r="D373" s="9" t="str">
        <x:v>Australian football</x:v>
      </x:c>
      <x:c r="E373" s="9" t="str">
        <x:v>AFL</x:v>
      </x:c>
      <x:c r="F373" s="10" t="str">
        <x:v>Collingwood Magpies vs Richmond Tigers</x:v>
      </x:c>
      <x:c r="G373" s="10" t="str">
        <x:v>AFL Round 16 live re-rank</x:v>
      </x:c>
      <x:c r="H373" s="10" t="str">
        <x:v>Magpies -38.5 Tigers +38.5 total 165.5</x:v>
      </x:c>
      <x:c r="I373" s="9" t="n">
        <x:v>3</x:v>
      </x:c>
      <x:c r="J373" s="10" t="str">
        <x:v>Richmond Tigers +38.5</x:v>
      </x:c>
      <x:c r="K373" s="9" t="str">
        <x:v>+38.5</x:v>
      </x:c>
      <x:c r="L373" s="23" t="n">
        <x:v>0.42</x:v>
      </x:c>
      <x:c r="M373" s="9" t="str">
        <x:v>W</x:v>
      </x:c>
      <x:c r="N373" s="9" t="n">
        <x:f>IF(M373="W",1,IF(M373="L",0,""))</x:f>
        <x:v>1</x:v>
      </x:c>
      <x:c r="O373" s="24" t="n">
        <x:f>IF(OR(M373="W",M373="L"),(L373-N373)^2,"")</x:f>
        <x:v>0.3364000000000001</x:v>
      </x:c>
      <x:c r="P373" s="9" t="str">
        <x:v>YES</x:v>
      </x:c>
      <x:c r="Q373" s="9" t="str">
        <x:v>40-49</x:v>
      </x:c>
      <x:c r="R373" s="9" t="str">
        <x:v>NO</x:v>
      </x:c>
      <x:c r="S373" s="10" t="str">
        <x:v>ESPN AFL summary API final; synced from v3 settlement addendum</x:v>
      </x:c>
      <x:c r="T373" s="10" t="str">
        <x:f>IF(IFERROR(ISNUMBER(SEARCH("http",S373)),FALSE),"YES","NO")</x:f>
        <x:v>NO</x:v>
      </x:c>
      <x:c r="U373" s="10" t="str">
        <x:v>NO</x:v>
      </x:c>
      <x:c r="V373" s="10" t="str">
        <x:v>NO</x:v>
      </x:c>
      <x:c r="W373" s="10" t="str">
        <x:v>LEGACY_UNVERIFIED_SNAPSHOT: no immutable cutoff/model/source packet</x:v>
      </x:c>
      <x:c r="X373" s="10" t="str">
        <x:v>exact_complement_selection</x:v>
      </x:c>
    </x:row>
    <x:row r="374">
      <x:c r="A374" s="9" t="n">
        <x:v>370</x:v>
      </x:c>
      <x:c r="B374" s="9" t="str">
        <x:v>AFL-20260627-COLL-RICH-LIVEQ4</x:v>
      </x:c>
      <x:c r="C374" s="25" t="str">
        <x:v>2026-06-27</x:v>
      </x:c>
      <x:c r="D374" s="9" t="str">
        <x:v>Australian football</x:v>
      </x:c>
      <x:c r="E374" s="9" t="str">
        <x:v>AFL</x:v>
      </x:c>
      <x:c r="F374" s="10" t="str">
        <x:v>Collingwood Magpies vs Richmond Tigers</x:v>
      </x:c>
      <x:c r="G374" s="10" t="str">
        <x:v>AFL Round 16 live re-rank</x:v>
      </x:c>
      <x:c r="H374" s="10" t="str">
        <x:v>Magpies -38.5 Tigers +38.5 total 165.5</x:v>
      </x:c>
      <x:c r="I374" s="9" t="n">
        <x:v>4</x:v>
      </x:c>
      <x:c r="J374" s="10" t="str">
        <x:v>Combined Total Under 165.5</x:v>
      </x:c>
      <x:c r="K374" s="9" t="str">
        <x:v>Under 165.5</x:v>
      </x:c>
      <x:c r="L374" s="23" t="n">
        <x:v>0.32</x:v>
      </x:c>
      <x:c r="M374" s="9" t="str">
        <x:v>L</x:v>
      </x:c>
      <x:c r="N374" s="9" t="n">
        <x:f>IF(M374="W",1,IF(M374="L",0,""))</x:f>
        <x:v>0</x:v>
      </x:c>
      <x:c r="O374" s="24" t="n">
        <x:f>IF(OR(M374="W",M374="L"),(L374-N374)^2,"")</x:f>
        <x:v>0.1024</x:v>
      </x:c>
      <x:c r="P374" s="9" t="str">
        <x:v>YES</x:v>
      </x:c>
      <x:c r="Q374" s="9" t="str">
        <x:v>30-39</x:v>
      </x:c>
      <x:c r="R374" s="9" t="str">
        <x:v>NO</x:v>
      </x:c>
      <x:c r="S374" s="10" t="str">
        <x:v>ESPN AFL summary API final; synced from v3 settlement addendum</x:v>
      </x:c>
      <x:c r="T374" s="10" t="str">
        <x:f>IF(IFERROR(ISNUMBER(SEARCH("http",S374)),FALSE),"YES","NO")</x:f>
        <x:v>NO</x:v>
      </x:c>
      <x:c r="U374" s="10" t="str">
        <x:v>NO</x:v>
      </x:c>
      <x:c r="V374" s="10" t="str">
        <x:v>NO</x:v>
      </x:c>
      <x:c r="W374" s="10" t="str">
        <x:v>LEGACY_UNVERIFIED_SNAPSHOT: no immutable cutoff/model/source packet</x:v>
      </x:c>
      <x:c r="X374" s="10" t="str">
        <x:v>exact_complement_selection</x:v>
      </x:c>
    </x:row>
    <x:row r="375">
      <x:c r="A375" s="9" t="n">
        <x:v>371</x:v>
      </x:c>
      <x:c r="B375" s="9" t="str">
        <x:v>AFL-20260627-COLL-RICH-SETTLEDQ4</x:v>
      </x:c>
      <x:c r="C375" s="25" t="str">
        <x:v>2026-06-27</x:v>
      </x:c>
      <x:c r="D375" s="9" t="str">
        <x:v>Australian football</x:v>
      </x:c>
      <x:c r="E375" s="9" t="str">
        <x:v>AFL</x:v>
      </x:c>
      <x:c r="F375" s="10" t="str">
        <x:v>Collingwood Magpies vs Richmond Tigers</x:v>
      </x:c>
      <x:c r="G375" s="10" t="str">
        <x:v>AFL Round 16 final re-rank settlement</x:v>
      </x:c>
      <x:c r="H375" s="10" t="str">
        <x:v>Magpies -38.5 Tigers +38.5 total 165.5</x:v>
      </x:c>
      <x:c r="I375" s="9" t="n">
        <x:v>1</x:v>
      </x:c>
      <x:c r="J375" s="10" t="str">
        <x:v>Combined Total Over 165.5</x:v>
      </x:c>
      <x:c r="K375" s="9" t="str">
        <x:v>Over 165.5</x:v>
      </x:c>
      <x:c r="L375" s="23" t="n">
        <x:v>0.68</x:v>
      </x:c>
      <x:c r="M375" s="9" t="str">
        <x:v>W</x:v>
      </x:c>
      <x:c r="N375" s="9" t="n">
        <x:f>IF(M375="W",1,IF(M375="L",0,""))</x:f>
        <x:v>1</x:v>
      </x:c>
      <x:c r="O375" s="24" t="n">
        <x:f>IF(OR(M375="W",M375="L"),(L375-N375)^2,"")</x:f>
        <x:v>0.10239999999999996</x:v>
      </x:c>
      <x:c r="P375" s="9" t="str">
        <x:v>YES</x:v>
      </x:c>
      <x:c r="Q375" s="9" t="str">
        <x:v>60-69</x:v>
      </x:c>
      <x:c r="R375" s="9" t="str">
        <x:v>NO</x:v>
      </x:c>
      <x:c r="S375" s="10" t="str">
        <x:v>ESPN AFL summary API</x:v>
      </x:c>
      <x:c r="T375" s="10" t="str">
        <x:f>IF(IFERROR(ISNUMBER(SEARCH("http",S375)),FALSE),"YES","NO")</x:f>
        <x:v>NO</x:v>
      </x:c>
      <x:c r="U375" s="10" t="str">
        <x:v>NO</x:v>
      </x:c>
      <x:c r="V375" s="10" t="str">
        <x:v>NO</x:v>
      </x:c>
      <x:c r="W375" s="10" t="str">
        <x:v>LEGACY_UNVERIFIED_SNAPSHOT: no immutable cutoff/model/source packet</x:v>
      </x:c>
      <x:c r="X375" s="10" t="str">
        <x:v>exact_complement_selection</x:v>
      </x:c>
    </x:row>
    <x:row r="376">
      <x:c r="A376" s="9" t="n">
        <x:v>372</x:v>
      </x:c>
      <x:c r="B376" s="9" t="str">
        <x:v>AFL-20260627-COLL-RICH-SETTLEDQ4</x:v>
      </x:c>
      <x:c r="C376" s="25" t="str">
        <x:v>2026-06-27</x:v>
      </x:c>
      <x:c r="D376" s="9" t="str">
        <x:v>Australian football</x:v>
      </x:c>
      <x:c r="E376" s="9" t="str">
        <x:v>AFL</x:v>
      </x:c>
      <x:c r="F376" s="10" t="str">
        <x:v>Collingwood Magpies vs Richmond Tigers</x:v>
      </x:c>
      <x:c r="G376" s="10" t="str">
        <x:v>AFL Round 16 final re-rank settlement</x:v>
      </x:c>
      <x:c r="H376" s="10" t="str">
        <x:v>Magpies -38.5 Tigers +38.5 total 165.5</x:v>
      </x:c>
      <x:c r="I376" s="9" t="n">
        <x:v>2</x:v>
      </x:c>
      <x:c r="J376" s="10" t="str">
        <x:v>Collingwood Magpies -38.5</x:v>
      </x:c>
      <x:c r="K376" s="9" t="str">
        <x:v>-38.5</x:v>
      </x:c>
      <x:c r="L376" s="23" t="n">
        <x:v>0.58</x:v>
      </x:c>
      <x:c r="M376" s="9" t="str">
        <x:v>L</x:v>
      </x:c>
      <x:c r="N376" s="9" t="n">
        <x:f>IF(M376="W",1,IF(M376="L",0,""))</x:f>
        <x:v>0</x:v>
      </x:c>
      <x:c r="O376" s="24" t="n">
        <x:f>IF(OR(M376="W",M376="L"),(L376-N376)^2,"")</x:f>
        <x:v>0.3364</x:v>
      </x:c>
      <x:c r="P376" s="9" t="str">
        <x:v>YES</x:v>
      </x:c>
      <x:c r="Q376" s="9" t="str">
        <x:v>50-59</x:v>
      </x:c>
      <x:c r="R376" s="9" t="str">
        <x:v>NO</x:v>
      </x:c>
      <x:c r="S376" s="10" t="str">
        <x:v>ESPN AFL summary API</x:v>
      </x:c>
      <x:c r="T376" s="10" t="str">
        <x:f>IF(IFERROR(ISNUMBER(SEARCH("http",S376)),FALSE),"YES","NO")</x:f>
        <x:v>NO</x:v>
      </x:c>
      <x:c r="U376" s="10" t="str">
        <x:v>NO</x:v>
      </x:c>
      <x:c r="V376" s="10" t="str">
        <x:v>NO</x:v>
      </x:c>
      <x:c r="W376" s="10" t="str">
        <x:v>LEGACY_UNVERIFIED_SNAPSHOT: no immutable cutoff/model/source packet</x:v>
      </x:c>
      <x:c r="X376" s="10" t="str">
        <x:v>projection_error; rank_error; exact_complement_selection</x:v>
      </x:c>
    </x:row>
    <x:row r="377">
      <x:c r="A377" s="9" t="n">
        <x:v>373</x:v>
      </x:c>
      <x:c r="B377" s="9" t="str">
        <x:v>AFL-20260627-COLL-RICH-SETTLEDQ4</x:v>
      </x:c>
      <x:c r="C377" s="25" t="str">
        <x:v>2026-06-27</x:v>
      </x:c>
      <x:c r="D377" s="9" t="str">
        <x:v>Australian football</x:v>
      </x:c>
      <x:c r="E377" s="9" t="str">
        <x:v>AFL</x:v>
      </x:c>
      <x:c r="F377" s="10" t="str">
        <x:v>Collingwood Magpies vs Richmond Tigers</x:v>
      </x:c>
      <x:c r="G377" s="10" t="str">
        <x:v>AFL Round 16 final re-rank settlement</x:v>
      </x:c>
      <x:c r="H377" s="10" t="str">
        <x:v>Magpies -38.5 Tigers +38.5 total 165.5</x:v>
      </x:c>
      <x:c r="I377" s="9" t="n">
        <x:v>3</x:v>
      </x:c>
      <x:c r="J377" s="10" t="str">
        <x:v>Richmond Tigers +38.5</x:v>
      </x:c>
      <x:c r="K377" s="9" t="str">
        <x:v>+38.5</x:v>
      </x:c>
      <x:c r="L377" s="23" t="n">
        <x:v>0.42</x:v>
      </x:c>
      <x:c r="M377" s="9" t="str">
        <x:v>W</x:v>
      </x:c>
      <x:c r="N377" s="9" t="n">
        <x:f>IF(M377="W",1,IF(M377="L",0,""))</x:f>
        <x:v>1</x:v>
      </x:c>
      <x:c r="O377" s="24" t="n">
        <x:f>IF(OR(M377="W",M377="L"),(L377-N377)^2,"")</x:f>
        <x:v>0.3364000000000001</x:v>
      </x:c>
      <x:c r="P377" s="9" t="str">
        <x:v>YES</x:v>
      </x:c>
      <x:c r="Q377" s="9" t="str">
        <x:v>40-49</x:v>
      </x:c>
      <x:c r="R377" s="9" t="str">
        <x:v>NO</x:v>
      </x:c>
      <x:c r="S377" s="10" t="str">
        <x:v>ESPN AFL summary API</x:v>
      </x:c>
      <x:c r="T377" s="10" t="str">
        <x:f>IF(IFERROR(ISNUMBER(SEARCH("http",S377)),FALSE),"YES","NO")</x:f>
        <x:v>NO</x:v>
      </x:c>
      <x:c r="U377" s="10" t="str">
        <x:v>NO</x:v>
      </x:c>
      <x:c r="V377" s="10" t="str">
        <x:v>NO</x:v>
      </x:c>
      <x:c r="W377" s="10" t="str">
        <x:v>LEGACY_UNVERIFIED_SNAPSHOT: no immutable cutoff/model/source packet</x:v>
      </x:c>
      <x:c r="X377" s="10" t="str">
        <x:v>exact_complement_selection</x:v>
      </x:c>
    </x:row>
    <x:row r="378">
      <x:c r="A378" s="9" t="n">
        <x:v>374</x:v>
      </x:c>
      <x:c r="B378" s="9" t="str">
        <x:v>AFL-20260627-COLL-RICH-SETTLEDQ4</x:v>
      </x:c>
      <x:c r="C378" s="25" t="str">
        <x:v>2026-06-27</x:v>
      </x:c>
      <x:c r="D378" s="9" t="str">
        <x:v>Australian football</x:v>
      </x:c>
      <x:c r="E378" s="9" t="str">
        <x:v>AFL</x:v>
      </x:c>
      <x:c r="F378" s="10" t="str">
        <x:v>Collingwood Magpies vs Richmond Tigers</x:v>
      </x:c>
      <x:c r="G378" s="10" t="str">
        <x:v>AFL Round 16 final re-rank settlement</x:v>
      </x:c>
      <x:c r="H378" s="10" t="str">
        <x:v>Magpies -38.5 Tigers +38.5 total 165.5</x:v>
      </x:c>
      <x:c r="I378" s="9" t="n">
        <x:v>4</x:v>
      </x:c>
      <x:c r="J378" s="10" t="str">
        <x:v>Combined Total Under 165.5</x:v>
      </x:c>
      <x:c r="K378" s="9" t="str">
        <x:v>Under 165.5</x:v>
      </x:c>
      <x:c r="L378" s="23" t="n">
        <x:v>0.32</x:v>
      </x:c>
      <x:c r="M378" s="9" t="str">
        <x:v>L</x:v>
      </x:c>
      <x:c r="N378" s="9" t="n">
        <x:f>IF(M378="W",1,IF(M378="L",0,""))</x:f>
        <x:v>0</x:v>
      </x:c>
      <x:c r="O378" s="24" t="n">
        <x:f>IF(OR(M378="W",M378="L"),(L378-N378)^2,"")</x:f>
        <x:v>0.1024</x:v>
      </x:c>
      <x:c r="P378" s="9" t="str">
        <x:v>YES</x:v>
      </x:c>
      <x:c r="Q378" s="9" t="str">
        <x:v>30-39</x:v>
      </x:c>
      <x:c r="R378" s="9" t="str">
        <x:v>NO</x:v>
      </x:c>
      <x:c r="S378" s="10" t="str">
        <x:v>ESPN AFL summary API</x:v>
      </x:c>
      <x:c r="T378" s="10" t="str">
        <x:f>IF(IFERROR(ISNUMBER(SEARCH("http",S378)),FALSE),"YES","NO")</x:f>
        <x:v>NO</x:v>
      </x:c>
      <x:c r="U378" s="10" t="str">
        <x:v>NO</x:v>
      </x:c>
      <x:c r="V378" s="10" t="str">
        <x:v>NO</x:v>
      </x:c>
      <x:c r="W378" s="10" t="str">
        <x:v>LEGACY_UNVERIFIED_SNAPSHOT: no immutable cutoff/model/source packet</x:v>
      </x:c>
      <x:c r="X378" s="10" t="str">
        <x:v>exact_complement_selection</x:v>
      </x:c>
    </x:row>
    <x:row r="379">
      <x:c r="A379" s="9" t="n">
        <x:v>375</x:v>
      </x:c>
      <x:c r="B379" s="9" t="str">
        <x:v>CRIC-WT20WC-20260627-PAKW-NEDW</x:v>
      </x:c>
      <x:c r="C379" s="25" t="str">
        <x:v>2026-06-27</x:v>
      </x:c>
      <x:c r="D379" s="9" t="str">
        <x:v>Cricket</x:v>
      </x:c>
      <x:c r="E379" s="9" t="str">
        <x:v>Cricket/WT20I</x:v>
      </x:c>
      <x:c r="F379" s="10" t="str">
        <x:v>Pakistan Women vs Netherlands Women</x:v>
      </x:c>
      <x:c r="G379" s="10" t="str">
        <x:v>ICC Women's T20 World Cup 2026 Group A</x:v>
      </x:c>
      <x:c r="H379" s="10" t="str">
        <x:v>Pakistan innings 158.5 and PP 45.5</x:v>
      </x:c>
      <x:c r="I379" s="9" t="n">
        <x:v>1</x:v>
      </x:c>
      <x:c r="J379" s="10" t="str">
        <x:v>Pakistan 1st innings 20 overs Under 158.5</x:v>
      </x:c>
      <x:c r="K379" s="9" t="str">
        <x:v>Under 158.5</x:v>
      </x:c>
      <x:c r="L379" s="23" t="n">
        <x:v>0.56</x:v>
      </x:c>
      <x:c r="M379" s="9" t="str">
        <x:v>W</x:v>
      </x:c>
      <x:c r="N379" s="9" t="n">
        <x:f>IF(M379="W",1,IF(M379="L",0,""))</x:f>
        <x:v>1</x:v>
      </x:c>
      <x:c r="O379" s="24" t="n">
        <x:f>IF(OR(M379="W",M379="L"),(L379-N379)^2,"")</x:f>
        <x:v>0.19359999999999997</x:v>
      </x:c>
      <x:c r="P379" s="9" t="str">
        <x:v>YES</x:v>
      </x:c>
      <x:c r="Q379" s="9" t="str">
        <x:v>50-59</x:v>
      </x:c>
      <x:c r="R379" s="9" t="str">
        <x:v>NO</x:v>
      </x:c>
      <x:c r="S379" s="10" t="str">
        <x:v>ESPN structured summary API</x:v>
      </x:c>
      <x:c r="T379" s="10" t="str">
        <x:f>IF(IFERROR(ISNUMBER(SEARCH("http",S379)),FALSE),"YES","NO")</x:f>
        <x:v>NO</x:v>
      </x:c>
      <x:c r="U379" s="10" t="str">
        <x:v>NO</x:v>
      </x:c>
      <x:c r="V379" s="10" t="str">
        <x:v>NO</x:v>
      </x:c>
      <x:c r="W379" s="10" t="str">
        <x:v>LEGACY_UNVERIFIED_SNAPSHOT: no immutable cutoff/model/source packet</x:v>
      </x:c>
      <x:c r="X379" s="10" t="str">
        <x:v>exact_complement_selection</x:v>
      </x:c>
    </x:row>
    <x:row r="380">
      <x:c r="A380" s="9" t="n">
        <x:v>376</x:v>
      </x:c>
      <x:c r="B380" s="9" t="str">
        <x:v>CRIC-WT20WC-20260627-PAKW-NEDW</x:v>
      </x:c>
      <x:c r="C380" s="25" t="str">
        <x:v>2026-06-27</x:v>
      </x:c>
      <x:c r="D380" s="9" t="str">
        <x:v>Cricket</x:v>
      </x:c>
      <x:c r="E380" s="9" t="str">
        <x:v>Cricket/WT20I</x:v>
      </x:c>
      <x:c r="F380" s="10" t="str">
        <x:v>Pakistan Women vs Netherlands Women</x:v>
      </x:c>
      <x:c r="G380" s="10" t="str">
        <x:v>ICC Women's T20 World Cup 2026 Group A</x:v>
      </x:c>
      <x:c r="H380" s="10" t="str">
        <x:v>Pakistan innings 158.5 and PP 45.5</x:v>
      </x:c>
      <x:c r="I380" s="9" t="n">
        <x:v>2</x:v>
      </x:c>
      <x:c r="J380" s="10" t="str">
        <x:v>Pakistan 1st innings 6 overs Under 45.5</x:v>
      </x:c>
      <x:c r="K380" s="9" t="str">
        <x:v>Under 45.5</x:v>
      </x:c>
      <x:c r="L380" s="23" t="n">
        <x:v>0.54</x:v>
      </x:c>
      <x:c r="M380" s="9" t="str">
        <x:v>W</x:v>
      </x:c>
      <x:c r="N380" s="9" t="n">
        <x:f>IF(M380="W",1,IF(M380="L",0,""))</x:f>
        <x:v>1</x:v>
      </x:c>
      <x:c r="O380" s="24" t="n">
        <x:f>IF(OR(M380="W",M380="L"),(L380-N380)^2,"")</x:f>
        <x:v>0.21159999999999995</x:v>
      </x:c>
      <x:c r="P380" s="9" t="str">
        <x:v>YES</x:v>
      </x:c>
      <x:c r="Q380" s="9" t="str">
        <x:v>50-59</x:v>
      </x:c>
      <x:c r="R380" s="9" t="str">
        <x:v>NO</x:v>
      </x:c>
      <x:c r="S380" s="10" t="str">
        <x:v>ESPN structured summary API</x:v>
      </x:c>
      <x:c r="T380" s="10" t="str">
        <x:f>IF(IFERROR(ISNUMBER(SEARCH("http",S380)),FALSE),"YES","NO")</x:f>
        <x:v>NO</x:v>
      </x:c>
      <x:c r="U380" s="10" t="str">
        <x:v>NO</x:v>
      </x:c>
      <x:c r="V380" s="10" t="str">
        <x:v>NO</x:v>
      </x:c>
      <x:c r="W380" s="10" t="str">
        <x:v>LEGACY_UNVERIFIED_SNAPSHOT: no immutable cutoff/model/source packet</x:v>
      </x:c>
      <x:c r="X380" s="10" t="str">
        <x:v>exact_complement_selection</x:v>
      </x:c>
    </x:row>
    <x:row r="381">
      <x:c r="A381" s="9" t="n">
        <x:v>377</x:v>
      </x:c>
      <x:c r="B381" s="9" t="str">
        <x:v>CRIC-WT20WC-20260627-PAKW-NEDW</x:v>
      </x:c>
      <x:c r="C381" s="25" t="str">
        <x:v>2026-06-27</x:v>
      </x:c>
      <x:c r="D381" s="9" t="str">
        <x:v>Cricket</x:v>
      </x:c>
      <x:c r="E381" s="9" t="str">
        <x:v>Cricket/WT20I</x:v>
      </x:c>
      <x:c r="F381" s="10" t="str">
        <x:v>Pakistan Women vs Netherlands Women</x:v>
      </x:c>
      <x:c r="G381" s="10" t="str">
        <x:v>ICC Women's T20 World Cup 2026 Group A</x:v>
      </x:c>
      <x:c r="H381" s="10" t="str">
        <x:v>Pakistan innings 158.5 and PP 45.5</x:v>
      </x:c>
      <x:c r="I381" s="9" t="n">
        <x:v>3</x:v>
      </x:c>
      <x:c r="J381" s="10" t="str">
        <x:v>Pakistan 1st innings 6 overs Over 45.5</x:v>
      </x:c>
      <x:c r="K381" s="9" t="str">
        <x:v>Over 45.5</x:v>
      </x:c>
      <x:c r="L381" s="23" t="n">
        <x:v>0.46</x:v>
      </x:c>
      <x:c r="M381" s="9" t="str">
        <x:v>L</x:v>
      </x:c>
      <x:c r="N381" s="9" t="n">
        <x:f>IF(M381="W",1,IF(M381="L",0,""))</x:f>
        <x:v>0</x:v>
      </x:c>
      <x:c r="O381" s="24" t="n">
        <x:f>IF(OR(M381="W",M381="L"),(L381-N381)^2,"")</x:f>
        <x:v>0.2116</x:v>
      </x:c>
      <x:c r="P381" s="9" t="str">
        <x:v>YES</x:v>
      </x:c>
      <x:c r="Q381" s="9" t="str">
        <x:v>40-49</x:v>
      </x:c>
      <x:c r="R381" s="9" t="str">
        <x:v>NO</x:v>
      </x:c>
      <x:c r="S381" s="10" t="str">
        <x:v>ESPN structured summary API</x:v>
      </x:c>
      <x:c r="T381" s="10" t="str">
        <x:f>IF(IFERROR(ISNUMBER(SEARCH("http",S381)),FALSE),"YES","NO")</x:f>
        <x:v>NO</x:v>
      </x:c>
      <x:c r="U381" s="10" t="str">
        <x:v>NO</x:v>
      </x:c>
      <x:c r="V381" s="10" t="str">
        <x:v>NO</x:v>
      </x:c>
      <x:c r="W381" s="10" t="str">
        <x:v>LEGACY_UNVERIFIED_SNAPSHOT: no immutable cutoff/model/source packet</x:v>
      </x:c>
      <x:c r="X381" s="10" t="str">
        <x:v>exact_complement_selection</x:v>
      </x:c>
    </x:row>
    <x:row r="382">
      <x:c r="A382" s="9" t="n">
        <x:v>378</x:v>
      </x:c>
      <x:c r="B382" s="9" t="str">
        <x:v>CRIC-WT20WC-20260627-PAKW-NEDW</x:v>
      </x:c>
      <x:c r="C382" s="25" t="str">
        <x:v>2026-06-27</x:v>
      </x:c>
      <x:c r="D382" s="9" t="str">
        <x:v>Cricket</x:v>
      </x:c>
      <x:c r="E382" s="9" t="str">
        <x:v>Cricket/WT20I</x:v>
      </x:c>
      <x:c r="F382" s="10" t="str">
        <x:v>Pakistan Women vs Netherlands Women</x:v>
      </x:c>
      <x:c r="G382" s="10" t="str">
        <x:v>ICC Women's T20 World Cup 2026 Group A</x:v>
      </x:c>
      <x:c r="H382" s="10" t="str">
        <x:v>Pakistan innings 158.5 and PP 45.5</x:v>
      </x:c>
      <x:c r="I382" s="9" t="n">
        <x:v>4</x:v>
      </x:c>
      <x:c r="J382" s="10" t="str">
        <x:v>Pakistan 1st innings 20 overs Over 158.5</x:v>
      </x:c>
      <x:c r="K382" s="9" t="str">
        <x:v>Over 158.5</x:v>
      </x:c>
      <x:c r="L382" s="23" t="n">
        <x:v>0.44</x:v>
      </x:c>
      <x:c r="M382" s="9" t="str">
        <x:v>L</x:v>
      </x:c>
      <x:c r="N382" s="9" t="n">
        <x:f>IF(M382="W",1,IF(M382="L",0,""))</x:f>
        <x:v>0</x:v>
      </x:c>
      <x:c r="O382" s="24" t="n">
        <x:f>IF(OR(M382="W",M382="L"),(L382-N382)^2,"")</x:f>
        <x:v>0.1936</x:v>
      </x:c>
      <x:c r="P382" s="9" t="str">
        <x:v>YES</x:v>
      </x:c>
      <x:c r="Q382" s="9" t="str">
        <x:v>40-49</x:v>
      </x:c>
      <x:c r="R382" s="9" t="str">
        <x:v>NO</x:v>
      </x:c>
      <x:c r="S382" s="10" t="str">
        <x:v>ESPN structured summary API</x:v>
      </x:c>
      <x:c r="T382" s="10" t="str">
        <x:f>IF(IFERROR(ISNUMBER(SEARCH("http",S382)),FALSE),"YES","NO")</x:f>
        <x:v>NO</x:v>
      </x:c>
      <x:c r="U382" s="10" t="str">
        <x:v>NO</x:v>
      </x:c>
      <x:c r="V382" s="10" t="str">
        <x:v>NO</x:v>
      </x:c>
      <x:c r="W382" s="10" t="str">
        <x:v>LEGACY_UNVERIFIED_SNAPSHOT: no immutable cutoff/model/source packet</x:v>
      </x:c>
      <x:c r="X382" s="10" t="str">
        <x:v>exact_complement_selection</x:v>
      </x:c>
    </x:row>
    <x:row r="383">
      <x:c r="A383" s="9" t="n">
        <x:v>379</x:v>
      </x:c>
      <x:c r="B383" s="9" t="str">
        <x:v>CRIC-WT20WC-20260627-WIW-IREW</x:v>
      </x:c>
      <x:c r="C383" s="25" t="str">
        <x:v>2026-06-27</x:v>
      </x:c>
      <x:c r="D383" s="9" t="str">
        <x:v>Cricket</x:v>
      </x:c>
      <x:c r="E383" s="9" t="str">
        <x:v>Cricket/WT20I</x:v>
      </x:c>
      <x:c r="F383" s="10" t="str">
        <x:v>West Indies Women vs Ireland Women</x:v>
      </x:c>
      <x:c r="G383" s="10" t="str">
        <x:v>ICC Women's T20 World Cup 2026 Group B</x:v>
      </x:c>
      <x:c r="H383" s="10" t="str">
        <x:v>West Indies innings 158.5 and PP 45.5</x:v>
      </x:c>
      <x:c r="I383" s="9" t="n">
        <x:v>1</x:v>
      </x:c>
      <x:c r="J383" s="10" t="str">
        <x:v>West Indies 1st innings 6 overs Over 45.5</x:v>
      </x:c>
      <x:c r="K383" s="9" t="str">
        <x:v>Over 45.5</x:v>
      </x:c>
      <x:c r="L383" s="23" t="n">
        <x:v>0.56</x:v>
      </x:c>
      <x:c r="M383" s="9" t="str">
        <x:v>L</x:v>
      </x:c>
      <x:c r="N383" s="9" t="n">
        <x:f>IF(M383="W",1,IF(M383="L",0,""))</x:f>
        <x:v>0</x:v>
      </x:c>
      <x:c r="O383" s="24" t="n">
        <x:f>IF(OR(M383="W",M383="L"),(L383-N383)^2,"")</x:f>
        <x:v>0.31360000000000005</x:v>
      </x:c>
      <x:c r="P383" s="9" t="str">
        <x:v>YES</x:v>
      </x:c>
      <x:c r="Q383" s="9" t="str">
        <x:v>50-59</x:v>
      </x:c>
      <x:c r="R383" s="9" t="str">
        <x:v>NO</x:v>
      </x:c>
      <x:c r="S383" s="10" t="str">
        <x:v>ESPN structured summary API</x:v>
      </x:c>
      <x:c r="T383" s="10" t="str">
        <x:f>IF(IFERROR(ISNUMBER(SEARCH("http",S383)),FALSE),"YES","NO")</x:f>
        <x:v>NO</x:v>
      </x:c>
      <x:c r="U383" s="10" t="str">
        <x:v>NO</x:v>
      </x:c>
      <x:c r="V383" s="10" t="str">
        <x:v>NO</x:v>
      </x:c>
      <x:c r="W383" s="10" t="str">
        <x:v>LEGACY_UNVERIFIED_SNAPSHOT: no immutable cutoff/model/source packet</x:v>
      </x:c>
      <x:c r="X383" s="10" t="str">
        <x:v>projection_error; exact_complement_selection</x:v>
      </x:c>
    </x:row>
    <x:row r="384">
      <x:c r="A384" s="9" t="n">
        <x:v>380</x:v>
      </x:c>
      <x:c r="B384" s="9" t="str">
        <x:v>CRIC-WT20WC-20260627-WIW-IREW</x:v>
      </x:c>
      <x:c r="C384" s="25" t="str">
        <x:v>2026-06-27</x:v>
      </x:c>
      <x:c r="D384" s="9" t="str">
        <x:v>Cricket</x:v>
      </x:c>
      <x:c r="E384" s="9" t="str">
        <x:v>Cricket/WT20I</x:v>
      </x:c>
      <x:c r="F384" s="10" t="str">
        <x:v>West Indies Women vs Ireland Women</x:v>
      </x:c>
      <x:c r="G384" s="10" t="str">
        <x:v>ICC Women's T20 World Cup 2026 Group B</x:v>
      </x:c>
      <x:c r="H384" s="10" t="str">
        <x:v>West Indies innings 158.5 and PP 45.5</x:v>
      </x:c>
      <x:c r="I384" s="9" t="n">
        <x:v>2</x:v>
      </x:c>
      <x:c r="J384" s="10" t="str">
        <x:v>West Indies 1st innings 20 overs Over 158.5</x:v>
      </x:c>
      <x:c r="K384" s="9" t="str">
        <x:v>Over 158.5</x:v>
      </x:c>
      <x:c r="L384" s="23" t="n">
        <x:v>0.53</x:v>
      </x:c>
      <x:c r="M384" s="9" t="str">
        <x:v>L</x:v>
      </x:c>
      <x:c r="N384" s="9" t="n">
        <x:f>IF(M384="W",1,IF(M384="L",0,""))</x:f>
        <x:v>0</x:v>
      </x:c>
      <x:c r="O384" s="24" t="n">
        <x:f>IF(OR(M384="W",M384="L"),(L384-N384)^2,"")</x:f>
        <x:v>0.28090000000000004</x:v>
      </x:c>
      <x:c r="P384" s="9" t="str">
        <x:v>YES</x:v>
      </x:c>
      <x:c r="Q384" s="9" t="str">
        <x:v>50-59</x:v>
      </x:c>
      <x:c r="R384" s="9" t="str">
        <x:v>NO</x:v>
      </x:c>
      <x:c r="S384" s="10" t="str">
        <x:v>ESPN structured summary API</x:v>
      </x:c>
      <x:c r="T384" s="10" t="str">
        <x:f>IF(IFERROR(ISNUMBER(SEARCH("http",S384)),FALSE),"YES","NO")</x:f>
        <x:v>NO</x:v>
      </x:c>
      <x:c r="U384" s="10" t="str">
        <x:v>NO</x:v>
      </x:c>
      <x:c r="V384" s="10" t="str">
        <x:v>NO</x:v>
      </x:c>
      <x:c r="W384" s="10" t="str">
        <x:v>LEGACY_UNVERIFIED_SNAPSHOT: no immutable cutoff/model/source packet</x:v>
      </x:c>
      <x:c r="X384" s="10" t="str">
        <x:v>projection_error; rank_error; exact_complement_selection</x:v>
      </x:c>
    </x:row>
    <x:row r="385">
      <x:c r="A385" s="9" t="n">
        <x:v>381</x:v>
      </x:c>
      <x:c r="B385" s="9" t="str">
        <x:v>CRIC-WT20WC-20260627-WIW-IREW</x:v>
      </x:c>
      <x:c r="C385" s="25" t="str">
        <x:v>2026-06-27</x:v>
      </x:c>
      <x:c r="D385" s="9" t="str">
        <x:v>Cricket</x:v>
      </x:c>
      <x:c r="E385" s="9" t="str">
        <x:v>Cricket/WT20I</x:v>
      </x:c>
      <x:c r="F385" s="10" t="str">
        <x:v>West Indies Women vs Ireland Women</x:v>
      </x:c>
      <x:c r="G385" s="10" t="str">
        <x:v>ICC Women's T20 World Cup 2026 Group B</x:v>
      </x:c>
      <x:c r="H385" s="10" t="str">
        <x:v>West Indies innings 158.5 and PP 45.5</x:v>
      </x:c>
      <x:c r="I385" s="9" t="n">
        <x:v>3</x:v>
      </x:c>
      <x:c r="J385" s="10" t="str">
        <x:v>West Indies 1st innings 20 overs Under 158.5</x:v>
      </x:c>
      <x:c r="K385" s="9" t="str">
        <x:v>Under 158.5</x:v>
      </x:c>
      <x:c r="L385" s="23" t="n">
        <x:v>0.47</x:v>
      </x:c>
      <x:c r="M385" s="9" t="str">
        <x:v>W</x:v>
      </x:c>
      <x:c r="N385" s="9" t="n">
        <x:f>IF(M385="W",1,IF(M385="L",0,""))</x:f>
        <x:v>1</x:v>
      </x:c>
      <x:c r="O385" s="24" t="n">
        <x:f>IF(OR(M385="W",M385="L"),(L385-N385)^2,"")</x:f>
        <x:v>0.28090000000000004</x:v>
      </x:c>
      <x:c r="P385" s="9" t="str">
        <x:v>YES</x:v>
      </x:c>
      <x:c r="Q385" s="9" t="str">
        <x:v>40-49</x:v>
      </x:c>
      <x:c r="R385" s="9" t="str">
        <x:v>NO</x:v>
      </x:c>
      <x:c r="S385" s="10" t="str">
        <x:v>ESPN structured summary API</x:v>
      </x:c>
      <x:c r="T385" s="10" t="str">
        <x:f>IF(IFERROR(ISNUMBER(SEARCH("http",S385)),FALSE),"YES","NO")</x:f>
        <x:v>NO</x:v>
      </x:c>
      <x:c r="U385" s="10" t="str">
        <x:v>NO</x:v>
      </x:c>
      <x:c r="V385" s="10" t="str">
        <x:v>NO</x:v>
      </x:c>
      <x:c r="W385" s="10" t="str">
        <x:v>LEGACY_UNVERIFIED_SNAPSHOT: no immutable cutoff/model/source packet</x:v>
      </x:c>
      <x:c r="X385" s="10" t="str">
        <x:v>projection_error; rank_error; exact_complement_selection</x:v>
      </x:c>
    </x:row>
    <x:row r="386">
      <x:c r="A386" s="9" t="n">
        <x:v>382</x:v>
      </x:c>
      <x:c r="B386" s="9" t="str">
        <x:v>CRIC-WT20WC-20260627-WIW-IREW</x:v>
      </x:c>
      <x:c r="C386" s="25" t="str">
        <x:v>2026-06-27</x:v>
      </x:c>
      <x:c r="D386" s="9" t="str">
        <x:v>Cricket</x:v>
      </x:c>
      <x:c r="E386" s="9" t="str">
        <x:v>Cricket/WT20I</x:v>
      </x:c>
      <x:c r="F386" s="10" t="str">
        <x:v>West Indies Women vs Ireland Women</x:v>
      </x:c>
      <x:c r="G386" s="10" t="str">
        <x:v>ICC Women's T20 World Cup 2026 Group B</x:v>
      </x:c>
      <x:c r="H386" s="10" t="str">
        <x:v>West Indies innings 158.5 and PP 45.5</x:v>
      </x:c>
      <x:c r="I386" s="9" t="n">
        <x:v>4</x:v>
      </x:c>
      <x:c r="J386" s="10" t="str">
        <x:v>West Indies 1st innings 6 overs Under 45.5</x:v>
      </x:c>
      <x:c r="K386" s="9" t="str">
        <x:v>Under 45.5</x:v>
      </x:c>
      <x:c r="L386" s="23" t="n">
        <x:v>0.44</x:v>
      </x:c>
      <x:c r="M386" s="9" t="str">
        <x:v>W</x:v>
      </x:c>
      <x:c r="N386" s="9" t="n">
        <x:f>IF(M386="W",1,IF(M386="L",0,""))</x:f>
        <x:v>1</x:v>
      </x:c>
      <x:c r="O386" s="24" t="n">
        <x:f>IF(OR(M386="W",M386="L"),(L386-N386)^2,"")</x:f>
        <x:v>0.31360000000000005</x:v>
      </x:c>
      <x:c r="P386" s="9" t="str">
        <x:v>YES</x:v>
      </x:c>
      <x:c r="Q386" s="9" t="str">
        <x:v>40-49</x:v>
      </x:c>
      <x:c r="R386" s="9" t="str">
        <x:v>NO</x:v>
      </x:c>
      <x:c r="S386" s="10" t="str">
        <x:v>ESPN structured summary API</x:v>
      </x:c>
      <x:c r="T386" s="10" t="str">
        <x:f>IF(IFERROR(ISNUMBER(SEARCH("http",S386)),FALSE),"YES","NO")</x:f>
        <x:v>NO</x:v>
      </x:c>
      <x:c r="U386" s="10" t="str">
        <x:v>NO</x:v>
      </x:c>
      <x:c r="V386" s="10" t="str">
        <x:v>NO</x:v>
      </x:c>
      <x:c r="W386" s="10" t="str">
        <x:v>LEGACY_UNVERIFIED_SNAPSHOT: no immutable cutoff/model/source packet</x:v>
      </x:c>
      <x:c r="X386" s="10" t="str">
        <x:v>projection_error; rank_error; exact_complement_selection</x:v>
      </x:c>
    </x:row>
    <x:row r="387">
      <x:c r="A387" s="9" t="n">
        <x:v>383</x:v>
      </x:c>
      <x:c r="B387" s="9" t="str">
        <x:v>CRIC-WT20WC-20260628-ENGW-NZW</x:v>
      </x:c>
      <x:c r="C387" s="25" t="str">
        <x:v>2026-06-28</x:v>
      </x:c>
      <x:c r="D387" s="9" t="str">
        <x:v>Cricket</x:v>
      </x:c>
      <x:c r="E387" s="9" t="str">
        <x:v>Cricket/WT20I</x:v>
      </x:c>
      <x:c r="F387" s="10" t="str">
        <x:v>England Women vs New Zealand Women</x:v>
      </x:c>
      <x:c r="G387" s="10" t="str">
        <x:v>ICC Women's T20 World Cup 2026 Group B</x:v>
      </x:c>
      <x:c r="H387" s="10" t="str">
        <x:v>New Zealand innings 153.5 and PP 42.5</x:v>
      </x:c>
      <x:c r="I387" s="9" t="n">
        <x:v>1</x:v>
      </x:c>
      <x:c r="J387" s="10" t="str">
        <x:v>New Zealand 1st innings 20 overs Over 153.5</x:v>
      </x:c>
      <x:c r="K387" s="9" t="str">
        <x:v>Over 153.5</x:v>
      </x:c>
      <x:c r="L387" s="23" t="n">
        <x:v>0.55</x:v>
      </x:c>
      <x:c r="M387" s="9" t="str">
        <x:v>W</x:v>
      </x:c>
      <x:c r="N387" s="9" t="n">
        <x:f>IF(M387="W",1,IF(M387="L",0,""))</x:f>
        <x:v>1</x:v>
      </x:c>
      <x:c r="O387" s="24" t="n">
        <x:f>IF(OR(M387="W",M387="L"),(L387-N387)^2,"")</x:f>
        <x:v>0.20249999999999996</x:v>
      </x:c>
      <x:c r="P387" s="9" t="str">
        <x:v>YES</x:v>
      </x:c>
      <x:c r="Q387" s="9" t="str">
        <x:v>50-59</x:v>
      </x:c>
      <x:c r="R387" s="9" t="str">
        <x:v>NO</x:v>
      </x:c>
      <x:c r="S387" s="10" t="str">
        <x:v>ESPN structured summary API</x:v>
      </x:c>
      <x:c r="T387" s="10" t="str">
        <x:f>IF(IFERROR(ISNUMBER(SEARCH("http",S387)),FALSE),"YES","NO")</x:f>
        <x:v>NO</x:v>
      </x:c>
      <x:c r="U387" s="10" t="str">
        <x:v>NO</x:v>
      </x:c>
      <x:c r="V387" s="10" t="str">
        <x:v>NO</x:v>
      </x:c>
      <x:c r="W387" s="10" t="str">
        <x:v>LEGACY_UNVERIFIED_SNAPSHOT: no immutable cutoff/model/source packet</x:v>
      </x:c>
      <x:c r="X387" s="10" t="str">
        <x:v>exact_complement_selection</x:v>
      </x:c>
    </x:row>
    <x:row r="388">
      <x:c r="A388" s="9" t="n">
        <x:v>384</x:v>
      </x:c>
      <x:c r="B388" s="9" t="str">
        <x:v>CRIC-WT20WC-20260628-ENGW-NZW</x:v>
      </x:c>
      <x:c r="C388" s="25" t="str">
        <x:v>2026-06-28</x:v>
      </x:c>
      <x:c r="D388" s="9" t="str">
        <x:v>Cricket</x:v>
      </x:c>
      <x:c r="E388" s="9" t="str">
        <x:v>Cricket/WT20I</x:v>
      </x:c>
      <x:c r="F388" s="10" t="str">
        <x:v>England Women vs New Zealand Women</x:v>
      </x:c>
      <x:c r="G388" s="10" t="str">
        <x:v>ICC Women's T20 World Cup 2026 Group B</x:v>
      </x:c>
      <x:c r="H388" s="10" t="str">
        <x:v>New Zealand innings 153.5 and PP 42.5</x:v>
      </x:c>
      <x:c r="I388" s="9" t="n">
        <x:v>2</x:v>
      </x:c>
      <x:c r="J388" s="10" t="str">
        <x:v>New Zealand 1st innings 6 overs Over 42.5</x:v>
      </x:c>
      <x:c r="K388" s="9" t="str">
        <x:v>Over 42.5</x:v>
      </x:c>
      <x:c r="L388" s="23" t="n">
        <x:v>0.52</x:v>
      </x:c>
      <x:c r="M388" s="9" t="str">
        <x:v>W</x:v>
      </x:c>
      <x:c r="N388" s="9" t="n">
        <x:f>IF(M388="W",1,IF(M388="L",0,""))</x:f>
        <x:v>1</x:v>
      </x:c>
      <x:c r="O388" s="24" t="n">
        <x:f>IF(OR(M388="W",M388="L"),(L388-N388)^2,"")</x:f>
        <x:v>0.2304</x:v>
      </x:c>
      <x:c r="P388" s="9" t="str">
        <x:v>YES</x:v>
      </x:c>
      <x:c r="Q388" s="9" t="str">
        <x:v>50-59</x:v>
      </x:c>
      <x:c r="R388" s="9" t="str">
        <x:v>NO</x:v>
      </x:c>
      <x:c r="S388" s="10" t="str">
        <x:v>ESPN structured summary API</x:v>
      </x:c>
      <x:c r="T388" s="10" t="str">
        <x:f>IF(IFERROR(ISNUMBER(SEARCH("http",S388)),FALSE),"YES","NO")</x:f>
        <x:v>NO</x:v>
      </x:c>
      <x:c r="U388" s="10" t="str">
        <x:v>NO</x:v>
      </x:c>
      <x:c r="V388" s="10" t="str">
        <x:v>NO</x:v>
      </x:c>
      <x:c r="W388" s="10" t="str">
        <x:v>LEGACY_UNVERIFIED_SNAPSHOT: no immutable cutoff/model/source packet</x:v>
      </x:c>
      <x:c r="X388" s="10" t="str">
        <x:v>exact_complement_selection</x:v>
      </x:c>
    </x:row>
    <x:row r="389">
      <x:c r="A389" s="9" t="n">
        <x:v>385</x:v>
      </x:c>
      <x:c r="B389" s="9" t="str">
        <x:v>CRIC-WT20WC-20260628-ENGW-NZW</x:v>
      </x:c>
      <x:c r="C389" s="25" t="str">
        <x:v>2026-06-28</x:v>
      </x:c>
      <x:c r="D389" s="9" t="str">
        <x:v>Cricket</x:v>
      </x:c>
      <x:c r="E389" s="9" t="str">
        <x:v>Cricket/WT20I</x:v>
      </x:c>
      <x:c r="F389" s="10" t="str">
        <x:v>England Women vs New Zealand Women</x:v>
      </x:c>
      <x:c r="G389" s="10" t="str">
        <x:v>ICC Women's T20 World Cup 2026 Group B</x:v>
      </x:c>
      <x:c r="H389" s="10" t="str">
        <x:v>New Zealand innings 153.5 and PP 42.5</x:v>
      </x:c>
      <x:c r="I389" s="9" t="n">
        <x:v>3</x:v>
      </x:c>
      <x:c r="J389" s="10" t="str">
        <x:v>New Zealand 1st innings 6 overs Under 42.5</x:v>
      </x:c>
      <x:c r="K389" s="9" t="str">
        <x:v>Under 42.5</x:v>
      </x:c>
      <x:c r="L389" s="23" t="n">
        <x:v>0.48</x:v>
      </x:c>
      <x:c r="M389" s="9" t="str">
        <x:v>L</x:v>
      </x:c>
      <x:c r="N389" s="9" t="n">
        <x:f>IF(M389="W",1,IF(M389="L",0,""))</x:f>
        <x:v>0</x:v>
      </x:c>
      <x:c r="O389" s="24" t="n">
        <x:f>IF(OR(M389="W",M389="L"),(L389-N389)^2,"")</x:f>
        <x:v>0.2304</x:v>
      </x:c>
      <x:c r="P389" s="9" t="str">
        <x:v>YES</x:v>
      </x:c>
      <x:c r="Q389" s="9" t="str">
        <x:v>40-49</x:v>
      </x:c>
      <x:c r="R389" s="9" t="str">
        <x:v>NO</x:v>
      </x:c>
      <x:c r="S389" s="10" t="str">
        <x:v>ESPN structured summary API</x:v>
      </x:c>
      <x:c r="T389" s="10" t="str">
        <x:f>IF(IFERROR(ISNUMBER(SEARCH("http",S389)),FALSE),"YES","NO")</x:f>
        <x:v>NO</x:v>
      </x:c>
      <x:c r="U389" s="10" t="str">
        <x:v>NO</x:v>
      </x:c>
      <x:c r="V389" s="10" t="str">
        <x:v>NO</x:v>
      </x:c>
      <x:c r="W389" s="10" t="str">
        <x:v>LEGACY_UNVERIFIED_SNAPSHOT: no immutable cutoff/model/source packet</x:v>
      </x:c>
      <x:c r="X389" s="10" t="str">
        <x:v>exact_complement_selection</x:v>
      </x:c>
    </x:row>
    <x:row r="390">
      <x:c r="A390" s="9" t="n">
        <x:v>386</x:v>
      </x:c>
      <x:c r="B390" s="9" t="str">
        <x:v>CRIC-WT20WC-20260628-ENGW-NZW</x:v>
      </x:c>
      <x:c r="C390" s="25" t="str">
        <x:v>2026-06-28</x:v>
      </x:c>
      <x:c r="D390" s="9" t="str">
        <x:v>Cricket</x:v>
      </x:c>
      <x:c r="E390" s="9" t="str">
        <x:v>Cricket/WT20I</x:v>
      </x:c>
      <x:c r="F390" s="10" t="str">
        <x:v>England Women vs New Zealand Women</x:v>
      </x:c>
      <x:c r="G390" s="10" t="str">
        <x:v>ICC Women's T20 World Cup 2026 Group B</x:v>
      </x:c>
      <x:c r="H390" s="10" t="str">
        <x:v>New Zealand innings 153.5 and PP 42.5</x:v>
      </x:c>
      <x:c r="I390" s="9" t="n">
        <x:v>4</x:v>
      </x:c>
      <x:c r="J390" s="10" t="str">
        <x:v>New Zealand 1st innings 20 overs Under 153.5</x:v>
      </x:c>
      <x:c r="K390" s="9" t="str">
        <x:v>Under 153.5</x:v>
      </x:c>
      <x:c r="L390" s="23" t="n">
        <x:v>0.45</x:v>
      </x:c>
      <x:c r="M390" s="9" t="str">
        <x:v>L</x:v>
      </x:c>
      <x:c r="N390" s="9" t="n">
        <x:f>IF(M390="W",1,IF(M390="L",0,""))</x:f>
        <x:v>0</x:v>
      </x:c>
      <x:c r="O390" s="24" t="n">
        <x:f>IF(OR(M390="W",M390="L"),(L390-N390)^2,"")</x:f>
        <x:v>0.2025</x:v>
      </x:c>
      <x:c r="P390" s="9" t="str">
        <x:v>YES</x:v>
      </x:c>
      <x:c r="Q390" s="9" t="str">
        <x:v>40-49</x:v>
      </x:c>
      <x:c r="R390" s="9" t="str">
        <x:v>NO</x:v>
      </x:c>
      <x:c r="S390" s="10" t="str">
        <x:v>ESPN structured summary API</x:v>
      </x:c>
      <x:c r="T390" s="10" t="str">
        <x:f>IF(IFERROR(ISNUMBER(SEARCH("http",S390)),FALSE),"YES","NO")</x:f>
        <x:v>NO</x:v>
      </x:c>
      <x:c r="U390" s="10" t="str">
        <x:v>NO</x:v>
      </x:c>
      <x:c r="V390" s="10" t="str">
        <x:v>NO</x:v>
      </x:c>
      <x:c r="W390" s="10" t="str">
        <x:v>LEGACY_UNVERIFIED_SNAPSHOT: no immutable cutoff/model/source packet</x:v>
      </x:c>
      <x:c r="X390" s="10" t="str">
        <x:v>exact_complement_selection</x:v>
      </x:c>
    </x:row>
    <x:row r="391">
      <x:c r="A391" s="9" t="n">
        <x:v>387</x:v>
      </x:c>
      <x:c r="B391" s="9" t="str">
        <x:v>CRIC-WT20WC-20260628-ENGCHASE-NZW</x:v>
      </x:c>
      <x:c r="C391" s="25" t="str">
        <x:v>2026-06-28</x:v>
      </x:c>
      <x:c r="D391" s="9" t="str">
        <x:v>Cricket</x:v>
      </x:c>
      <x:c r="E391" s="9" t="str">
        <x:v>Cricket/WT20I</x:v>
      </x:c>
      <x:c r="F391" s="10" t="str">
        <x:v>England Women chase vs New Zealand Women</x:v>
      </x:c>
      <x:c r="G391" s="10" t="str">
        <x:v>ICC Women's T20 World Cup 2026 Group B</x:v>
      </x:c>
      <x:c r="H391" s="10" t="str">
        <x:v>England innings 164.5 and PP 52.5</x:v>
      </x:c>
      <x:c r="I391" s="9" t="n">
        <x:v>1</x:v>
      </x:c>
      <x:c r="J391" s="10" t="str">
        <x:v>England innings Under 164.5</x:v>
      </x:c>
      <x:c r="K391" s="9" t="str">
        <x:v>Under 164.5</x:v>
      </x:c>
      <x:c r="L391" s="23" t="n">
        <x:v>0.82</x:v>
      </x:c>
      <x:c r="M391" s="9" t="str">
        <x:v>W</x:v>
      </x:c>
      <x:c r="N391" s="9" t="n">
        <x:f>IF(M391="W",1,IF(M391="L",0,""))</x:f>
        <x:v>1</x:v>
      </x:c>
      <x:c r="O391" s="24" t="n">
        <x:f>IF(OR(M391="W",M391="L"),(L391-N391)^2,"")</x:f>
        <x:v>0.03240000000000002</x:v>
      </x:c>
      <x:c r="P391" s="9" t="str">
        <x:v>YES</x:v>
      </x:c>
      <x:c r="Q391" s="9" t="str">
        <x:v>80-89</x:v>
      </x:c>
      <x:c r="R391" s="9" t="str">
        <x:v>NO</x:v>
      </x:c>
      <x:c r="S391" s="10" t="str">
        <x:v>ESPNcricinfo/Cricbuzz final scorecard checked 2026-06-28 AEST</x:v>
      </x:c>
      <x:c r="T391" s="10" t="str">
        <x:f>IF(IFERROR(ISNUMBER(SEARCH("http",S391)),FALSE),"YES","NO")</x:f>
        <x:v>NO</x:v>
      </x:c>
      <x:c r="U391" s="10" t="str">
        <x:v>NO</x:v>
      </x:c>
      <x:c r="V391" s="10" t="str">
        <x:v>NO</x:v>
      </x:c>
      <x:c r="W391" s="10" t="str">
        <x:v>LEGACY_UNVERIFIED_SNAPSHOT: no immutable cutoff/model/source packet</x:v>
      </x:c>
      <x:c r="X391" s="10" t="str">
        <x:v>exact_complement_selection</x:v>
      </x:c>
    </x:row>
    <x:row r="392">
      <x:c r="A392" s="9" t="n">
        <x:v>388</x:v>
      </x:c>
      <x:c r="B392" s="9" t="str">
        <x:v>CRIC-WT20WC-20260628-ENGCHASE-NZW</x:v>
      </x:c>
      <x:c r="C392" s="25" t="str">
        <x:v>2026-06-28</x:v>
      </x:c>
      <x:c r="D392" s="9" t="str">
        <x:v>Cricket</x:v>
      </x:c>
      <x:c r="E392" s="9" t="str">
        <x:v>Cricket/WT20I</x:v>
      </x:c>
      <x:c r="F392" s="10" t="str">
        <x:v>England Women chase vs New Zealand Women</x:v>
      </x:c>
      <x:c r="G392" s="10" t="str">
        <x:v>ICC Women's T20 World Cup 2026 Group B</x:v>
      </x:c>
      <x:c r="H392" s="10" t="str">
        <x:v>England innings 164.5 and PP 52.5</x:v>
      </x:c>
      <x:c r="I392" s="9" t="n">
        <x:v>2</x:v>
      </x:c>
      <x:c r="J392" s="10" t="str">
        <x:v>England 1st innings 6 overs Under 52.5</x:v>
      </x:c>
      <x:c r="K392" s="9" t="str">
        <x:v>Under 52.5</x:v>
      </x:c>
      <x:c r="L392" s="23" t="n">
        <x:v>0.58</x:v>
      </x:c>
      <x:c r="M392" s="9" t="str">
        <x:v>L</x:v>
      </x:c>
      <x:c r="N392" s="9" t="n">
        <x:f>IF(M392="W",1,IF(M392="L",0,""))</x:f>
        <x:v>0</x:v>
      </x:c>
      <x:c r="O392" s="24" t="n">
        <x:f>IF(OR(M392="W",M392="L"),(L392-N392)^2,"")</x:f>
        <x:v>0.3364</x:v>
      </x:c>
      <x:c r="P392" s="9" t="str">
        <x:v>YES</x:v>
      </x:c>
      <x:c r="Q392" s="9" t="str">
        <x:v>50-59</x:v>
      </x:c>
      <x:c r="R392" s="9" t="str">
        <x:v>NO</x:v>
      </x:c>
      <x:c r="S392" s="10" t="str">
        <x:v>ESPNcricinfo/Cricbuzz final scorecard checked 2026-06-28 AEST</x:v>
      </x:c>
      <x:c r="T392" s="10" t="str">
        <x:f>IF(IFERROR(ISNUMBER(SEARCH("http",S392)),FALSE),"YES","NO")</x:f>
        <x:v>NO</x:v>
      </x:c>
      <x:c r="U392" s="10" t="str">
        <x:v>NO</x:v>
      </x:c>
      <x:c r="V392" s="10" t="str">
        <x:v>NO</x:v>
      </x:c>
      <x:c r="W392" s="10" t="str">
        <x:v>LEGACY_UNVERIFIED_SNAPSHOT: no immutable cutoff/model/source packet</x:v>
      </x:c>
      <x:c r="X392" s="10" t="str">
        <x:v>exact_complement_selection</x:v>
      </x:c>
    </x:row>
    <x:row r="393">
      <x:c r="A393" s="9" t="n">
        <x:v>389</x:v>
      </x:c>
      <x:c r="B393" s="9" t="str">
        <x:v>CRIC-WT20WC-20260628-ENGCHASE-NZW</x:v>
      </x:c>
      <x:c r="C393" s="25" t="str">
        <x:v>2026-06-28</x:v>
      </x:c>
      <x:c r="D393" s="9" t="str">
        <x:v>Cricket</x:v>
      </x:c>
      <x:c r="E393" s="9" t="str">
        <x:v>Cricket/WT20I</x:v>
      </x:c>
      <x:c r="F393" s="10" t="str">
        <x:v>England Women chase vs New Zealand Women</x:v>
      </x:c>
      <x:c r="G393" s="10" t="str">
        <x:v>ICC Women's T20 World Cup 2026 Group B</x:v>
      </x:c>
      <x:c r="H393" s="10" t="str">
        <x:v>England innings 164.5 and PP 52.5</x:v>
      </x:c>
      <x:c r="I393" s="9" t="n">
        <x:v>3</x:v>
      </x:c>
      <x:c r="J393" s="10" t="str">
        <x:v>England 1st innings 6 overs Over 52.5</x:v>
      </x:c>
      <x:c r="K393" s="9" t="str">
        <x:v>Over 52.5</x:v>
      </x:c>
      <x:c r="L393" s="23" t="n">
        <x:v>0.42</x:v>
      </x:c>
      <x:c r="M393" s="9" t="str">
        <x:v>W</x:v>
      </x:c>
      <x:c r="N393" s="9" t="n">
        <x:f>IF(M393="W",1,IF(M393="L",0,""))</x:f>
        <x:v>1</x:v>
      </x:c>
      <x:c r="O393" s="24" t="n">
        <x:f>IF(OR(M393="W",M393="L"),(L393-N393)^2,"")</x:f>
        <x:v>0.3364000000000001</x:v>
      </x:c>
      <x:c r="P393" s="9" t="str">
        <x:v>YES</x:v>
      </x:c>
      <x:c r="Q393" s="9" t="str">
        <x:v>40-49</x:v>
      </x:c>
      <x:c r="R393" s="9" t="str">
        <x:v>NO</x:v>
      </x:c>
      <x:c r="S393" s="10" t="str">
        <x:v>ESPNcricinfo/Cricbuzz final scorecard checked 2026-06-28 AEST</x:v>
      </x:c>
      <x:c r="T393" s="10" t="str">
        <x:f>IF(IFERROR(ISNUMBER(SEARCH("http",S393)),FALSE),"YES","NO")</x:f>
        <x:v>NO</x:v>
      </x:c>
      <x:c r="U393" s="10" t="str">
        <x:v>NO</x:v>
      </x:c>
      <x:c r="V393" s="10" t="str">
        <x:v>NO</x:v>
      </x:c>
      <x:c r="W393" s="10" t="str">
        <x:v>LEGACY_UNVERIFIED_SNAPSHOT: no immutable cutoff/model/source packet</x:v>
      </x:c>
      <x:c r="X393" s="10" t="str">
        <x:v>exact_complement_selection</x:v>
      </x:c>
    </x:row>
    <x:row r="394">
      <x:c r="A394" s="9" t="n">
        <x:v>390</x:v>
      </x:c>
      <x:c r="B394" s="9" t="str">
        <x:v>CRIC-WT20WC-20260628-ENGCHASE-NZW</x:v>
      </x:c>
      <x:c r="C394" s="25" t="str">
        <x:v>2026-06-28</x:v>
      </x:c>
      <x:c r="D394" s="9" t="str">
        <x:v>Cricket</x:v>
      </x:c>
      <x:c r="E394" s="9" t="str">
        <x:v>Cricket/WT20I</x:v>
      </x:c>
      <x:c r="F394" s="10" t="str">
        <x:v>England Women chase vs New Zealand Women</x:v>
      </x:c>
      <x:c r="G394" s="10" t="str">
        <x:v>ICC Women's T20 World Cup 2026 Group B</x:v>
      </x:c>
      <x:c r="H394" s="10" t="str">
        <x:v>England innings 164.5 and PP 52.5</x:v>
      </x:c>
      <x:c r="I394" s="9" t="n">
        <x:v>4</x:v>
      </x:c>
      <x:c r="J394" s="10" t="str">
        <x:v>England innings Over 164.5</x:v>
      </x:c>
      <x:c r="K394" s="9" t="str">
        <x:v>Over 164.5</x:v>
      </x:c>
      <x:c r="L394" s="23" t="n">
        <x:v>0.18</x:v>
      </x:c>
      <x:c r="M394" s="9" t="str">
        <x:v>L</x:v>
      </x:c>
      <x:c r="N394" s="9" t="n">
        <x:f>IF(M394="W",1,IF(M394="L",0,""))</x:f>
        <x:v>0</x:v>
      </x:c>
      <x:c r="O394" s="24" t="n">
        <x:f>IF(OR(M394="W",M394="L"),(L394-N394)^2,"")</x:f>
        <x:v>0.0324</x:v>
      </x:c>
      <x:c r="P394" s="9" t="str">
        <x:v>YES</x:v>
      </x:c>
      <x:c r="Q394" s="9" t="str">
        <x:v>10-19</x:v>
      </x:c>
      <x:c r="R394" s="9" t="str">
        <x:v>NO</x:v>
      </x:c>
      <x:c r="S394" s="10" t="str">
        <x:v>ESPNcricinfo/Cricbuzz final scorecard checked 2026-06-28 AEST</x:v>
      </x:c>
      <x:c r="T394" s="10" t="str">
        <x:f>IF(IFERROR(ISNUMBER(SEARCH("http",S394)),FALSE),"YES","NO")</x:f>
        <x:v>NO</x:v>
      </x:c>
      <x:c r="U394" s="10" t="str">
        <x:v>NO</x:v>
      </x:c>
      <x:c r="V394" s="10" t="str">
        <x:v>NO</x:v>
      </x:c>
      <x:c r="W394" s="10" t="str">
        <x:v>LEGACY_UNVERIFIED_SNAPSHOT: no immutable cutoff/model/source packet</x:v>
      </x:c>
      <x:c r="X394" s="10" t="str">
        <x:v>exact_complement_selection</x:v>
      </x:c>
    </x:row>
    <x:row r="395">
      <x:c r="A395" s="9" t="n">
        <x:v>391</x:v>
      </x:c>
      <x:c r="B395" s="9" t="str">
        <x:v>MLB-20260627-CIN-PIT</x:v>
      </x:c>
      <x:c r="C395" s="25" t="str">
        <x:v>2026-06-28</x:v>
      </x:c>
      <x:c r="D395" s="9" t="str">
        <x:v>Baseball</x:v>
      </x:c>
      <x:c r="E395" s="9" t="str">
        <x:v>Baseball/MLB</x:v>
      </x:c>
      <x:c r="F395" s="10" t="str">
        <x:v>Cincinnati Reds at Pittsburgh Pirates</x:v>
      </x:c>
      <x:c r="G395" s="10" t="str">
        <x:v>MLB regular season</x:v>
      </x:c>
      <x:c r="H395" s="10" t="str">
        <x:v>Reds +1.5 Pirates +1.5 total 8.0</x:v>
      </x:c>
      <x:c r="I395" s="9" t="n">
        <x:v>1</x:v>
      </x:c>
      <x:c r="J395" s="10" t="str">
        <x:v>Reds +1.5</x:v>
      </x:c>
      <x:c r="K395" s="9" t="str">
        <x:v>+1.5</x:v>
      </x:c>
      <x:c r="L395" s="23" t="n">
        <x:v>0.66</x:v>
      </x:c>
      <x:c r="M395" s="9" t="str">
        <x:v>W</x:v>
      </x:c>
      <x:c r="N395" s="9" t="n">
        <x:f>IF(M395="W",1,IF(M395="L",0,""))</x:f>
        <x:v>1</x:v>
      </x:c>
      <x:c r="O395" s="24" t="n">
        <x:f>IF(OR(M395="W",M395="L"),(L395-N395)^2,"")</x:f>
        <x:v>0.11559999999999998</x:v>
      </x:c>
      <x:c r="P395" s="9" t="str">
        <x:v>NO</x:v>
      </x:c>
      <x:c r="Q395" s="9" t="str">
        <x:v>60-69</x:v>
      </x:c>
      <x:c r="R395" s="9" t="str">
        <x:v>NO</x:v>
      </x:c>
      <x:c r="S395" s="10" t="str">
        <x:v>MLB StatsAPI gamePk 823364 final feed checked 2026-06-28 AEST</x:v>
      </x:c>
      <x:c r="T395" s="10" t="str">
        <x:f>IF(IFERROR(ISNUMBER(SEARCH("http",S395)),FALSE),"YES","NO")</x:f>
        <x:v>NO</x:v>
      </x:c>
      <x:c r="U395" s="10" t="str">
        <x:v>NO</x:v>
      </x:c>
      <x:c r="V395" s="10" t="str">
        <x:v>NO</x:v>
      </x:c>
      <x:c r="W395" s="10" t="str">
        <x:v>LEGACY_UNVERIFIED_SNAPSHOT: no immutable cutoff/model/source packet</x:v>
      </x:c>
      <x:c r="X395" s="10" t="str">
        <x:v>legacy schema only</x:v>
      </x:c>
    </x:row>
    <x:row r="396">
      <x:c r="A396" s="9" t="n">
        <x:v>392</x:v>
      </x:c>
      <x:c r="B396" s="9" t="str">
        <x:v>MLB-20260627-CIN-PIT</x:v>
      </x:c>
      <x:c r="C396" s="25" t="str">
        <x:v>2026-06-28</x:v>
      </x:c>
      <x:c r="D396" s="9" t="str">
        <x:v>Baseball</x:v>
      </x:c>
      <x:c r="E396" s="9" t="str">
        <x:v>Baseball/MLB</x:v>
      </x:c>
      <x:c r="F396" s="10" t="str">
        <x:v>Cincinnati Reds at Pittsburgh Pirates</x:v>
      </x:c>
      <x:c r="G396" s="10" t="str">
        <x:v>MLB regular season</x:v>
      </x:c>
      <x:c r="H396" s="10" t="str">
        <x:v>Reds +1.5 Pirates +1.5 total 8.0</x:v>
      </x:c>
      <x:c r="I396" s="9" t="n">
        <x:v>2</x:v>
      </x:c>
      <x:c r="J396" s="10" t="str">
        <x:v>Combined Total Under 8.0</x:v>
      </x:c>
      <x:c r="K396" s="9" t="str">
        <x:v>Under 8.0</x:v>
      </x:c>
      <x:c r="L396" s="23" t="n">
        <x:v>0.54</x:v>
      </x:c>
      <x:c r="M396" s="9" t="str">
        <x:v>L</x:v>
      </x:c>
      <x:c r="N396" s="9" t="n">
        <x:f>IF(M396="W",1,IF(M396="L",0,""))</x:f>
        <x:v>0</x:v>
      </x:c>
      <x:c r="O396" s="24" t="n">
        <x:f>IF(OR(M396="W",M396="L"),(L396-N396)^2,"")</x:f>
        <x:v>0.2916</x:v>
      </x:c>
      <x:c r="P396" s="9" t="str">
        <x:v>YES</x:v>
      </x:c>
      <x:c r="Q396" s="9" t="str">
        <x:v>50-59</x:v>
      </x:c>
      <x:c r="R396" s="9" t="str">
        <x:v>NO</x:v>
      </x:c>
      <x:c r="S396" s="10" t="str">
        <x:v>MLB StatsAPI gamePk 823364 final feed checked 2026-06-28 AEST</x:v>
      </x:c>
      <x:c r="T396" s="10" t="str">
        <x:f>IF(IFERROR(ISNUMBER(SEARCH("http",S396)),FALSE),"YES","NO")</x:f>
        <x:v>NO</x:v>
      </x:c>
      <x:c r="U396" s="10" t="str">
        <x:v>NO</x:v>
      </x:c>
      <x:c r="V396" s="10" t="str">
        <x:v>NO</x:v>
      </x:c>
      <x:c r="W396" s="10" t="str">
        <x:v>LEGACY_UNVERIFIED_SNAPSHOT: no immutable cutoff/model/source packet</x:v>
      </x:c>
      <x:c r="X396" s="10" t="str">
        <x:v>exact_complement_selection</x:v>
      </x:c>
    </x:row>
    <x:row r="397">
      <x:c r="A397" s="9" t="n">
        <x:v>393</x:v>
      </x:c>
      <x:c r="B397" s="9" t="str">
        <x:v>MLB-20260627-CIN-PIT</x:v>
      </x:c>
      <x:c r="C397" s="25" t="str">
        <x:v>2026-06-28</x:v>
      </x:c>
      <x:c r="D397" s="9" t="str">
        <x:v>Baseball</x:v>
      </x:c>
      <x:c r="E397" s="9" t="str">
        <x:v>Baseball/MLB</x:v>
      </x:c>
      <x:c r="F397" s="10" t="str">
        <x:v>Cincinnati Reds at Pittsburgh Pirates</x:v>
      </x:c>
      <x:c r="G397" s="10" t="str">
        <x:v>MLB regular season</x:v>
      </x:c>
      <x:c r="H397" s="10" t="str">
        <x:v>Reds +1.5 Pirates +1.5 total 8.0</x:v>
      </x:c>
      <x:c r="I397" s="9" t="n">
        <x:v>3</x:v>
      </x:c>
      <x:c r="J397" s="10" t="str">
        <x:v>Pirates +1.5</x:v>
      </x:c>
      <x:c r="K397" s="9" t="str">
        <x:v>+1.5</x:v>
      </x:c>
      <x:c r="L397" s="23" t="n">
        <x:v>0.52</x:v>
      </x:c>
      <x:c r="M397" s="9" t="str">
        <x:v>L</x:v>
      </x:c>
      <x:c r="N397" s="9" t="n">
        <x:f>IF(M397="W",1,IF(M397="L",0,""))</x:f>
        <x:v>0</x:v>
      </x:c>
      <x:c r="O397" s="24" t="n">
        <x:f>IF(OR(M397="W",M397="L"),(L397-N397)^2,"")</x:f>
        <x:v>0.27040000000000003</x:v>
      </x:c>
      <x:c r="P397" s="9" t="str">
        <x:v>NO</x:v>
      </x:c>
      <x:c r="Q397" s="9" t="str">
        <x:v>50-59</x:v>
      </x:c>
      <x:c r="R397" s="9" t="str">
        <x:v>NO</x:v>
      </x:c>
      <x:c r="S397" s="10" t="str">
        <x:v>MLB StatsAPI gamePk 823364 final feed checked 2026-06-28 AEST</x:v>
      </x:c>
      <x:c r="T397" s="10" t="str">
        <x:f>IF(IFERROR(ISNUMBER(SEARCH("http",S397)),FALSE),"YES","NO")</x:f>
        <x:v>NO</x:v>
      </x:c>
      <x:c r="U397" s="10" t="str">
        <x:v>NO</x:v>
      </x:c>
      <x:c r="V397" s="10" t="str">
        <x:v>NO</x:v>
      </x:c>
      <x:c r="W397" s="10" t="str">
        <x:v>LEGACY_UNVERIFIED_SNAPSHOT: no immutable cutoff/model/source packet</x:v>
      </x:c>
      <x:c r="X397" s="10" t="str">
        <x:v>legacy schema only</x:v>
      </x:c>
    </x:row>
    <x:row r="398">
      <x:c r="A398" s="9" t="n">
        <x:v>394</x:v>
      </x:c>
      <x:c r="B398" s="9" t="str">
        <x:v>MLB-20260627-CIN-PIT</x:v>
      </x:c>
      <x:c r="C398" s="25" t="str">
        <x:v>2026-06-28</x:v>
      </x:c>
      <x:c r="D398" s="9" t="str">
        <x:v>Baseball</x:v>
      </x:c>
      <x:c r="E398" s="9" t="str">
        <x:v>Baseball/MLB</x:v>
      </x:c>
      <x:c r="F398" s="10" t="str">
        <x:v>Cincinnati Reds at Pittsburgh Pirates</x:v>
      </x:c>
      <x:c r="G398" s="10" t="str">
        <x:v>MLB regular season</x:v>
      </x:c>
      <x:c r="H398" s="10" t="str">
        <x:v>Reds +1.5 Pirates +1.5 total 8.0</x:v>
      </x:c>
      <x:c r="I398" s="9" t="n">
        <x:v>4</x:v>
      </x:c>
      <x:c r="J398" s="10" t="str">
        <x:v>Combined Total Over 8.0</x:v>
      </x:c>
      <x:c r="K398" s="9" t="str">
        <x:v>Over 8.0</x:v>
      </x:c>
      <x:c r="L398" s="23" t="n">
        <x:v>0.43</x:v>
      </x:c>
      <x:c r="M398" s="9" t="str">
        <x:v>W</x:v>
      </x:c>
      <x:c r="N398" s="9" t="n">
        <x:f>IF(M398="W",1,IF(M398="L",0,""))</x:f>
        <x:v>1</x:v>
      </x:c>
      <x:c r="O398" s="24" t="n">
        <x:f>IF(OR(M398="W",M398="L"),(L398-N398)^2,"")</x:f>
        <x:v>0.3249000000000001</x:v>
      </x:c>
      <x:c r="P398" s="9" t="str">
        <x:v>YES</x:v>
      </x:c>
      <x:c r="Q398" s="9" t="str">
        <x:v>40-49</x:v>
      </x:c>
      <x:c r="R398" s="9" t="str">
        <x:v>NO</x:v>
      </x:c>
      <x:c r="S398" s="10" t="str">
        <x:v>MLB StatsAPI gamePk 823364 final feed checked 2026-06-28 AEST</x:v>
      </x:c>
      <x:c r="T398" s="10" t="str">
        <x:f>IF(IFERROR(ISNUMBER(SEARCH("http",S398)),FALSE),"YES","NO")</x:f>
        <x:v>NO</x:v>
      </x:c>
      <x:c r="U398" s="10" t="str">
        <x:v>NO</x:v>
      </x:c>
      <x:c r="V398" s="10" t="str">
        <x:v>NO</x:v>
      </x:c>
      <x:c r="W398" s="10" t="str">
        <x:v>LEGACY_UNVERIFIED_SNAPSHOT: no immutable cutoff/model/source packet</x:v>
      </x:c>
      <x:c r="X398" s="10" t="str">
        <x:v>exact_complement_selection</x:v>
      </x:c>
    </x:row>
    <x:row r="399">
      <x:c r="A399" s="9" t="n">
        <x:v>395</x:v>
      </x:c>
      <x:c r="B399" s="9" t="str">
        <x:v>MLB-20260627-KC-CHW</x:v>
      </x:c>
      <x:c r="C399" s="25" t="str">
        <x:v>2026-06-28</x:v>
      </x:c>
      <x:c r="D399" s="9" t="str">
        <x:v>Baseball</x:v>
      </x:c>
      <x:c r="E399" s="9" t="str">
        <x:v>Baseball/MLB</x:v>
      </x:c>
      <x:c r="F399" s="10" t="str">
        <x:v>Kansas City Royals at Chicago White Sox</x:v>
      </x:c>
      <x:c r="G399" s="10" t="str">
        <x:v>MLB regular season</x:v>
      </x:c>
      <x:c r="H399" s="10" t="str">
        <x:v>Royals +1.5 White Sox +1.5 total 8.0</x:v>
      </x:c>
      <x:c r="I399" s="9" t="n">
        <x:v>1</x:v>
      </x:c>
      <x:c r="J399" s="10" t="str">
        <x:v>White Sox +1.5</x:v>
      </x:c>
      <x:c r="K399" s="9" t="str">
        <x:v>+1.5</x:v>
      </x:c>
      <x:c r="L399" s="23" t="n">
        <x:v>0.72</x:v>
      </x:c>
      <x:c r="M399" s="9" t="str">
        <x:v>W</x:v>
      </x:c>
      <x:c r="N399" s="9" t="n">
        <x:f>IF(M399="W",1,IF(M399="L",0,""))</x:f>
        <x:v>1</x:v>
      </x:c>
      <x:c r="O399" s="24" t="n">
        <x:f>IF(OR(M399="W",M399="L"),(L399-N399)^2,"")</x:f>
        <x:v>0.07840000000000001</x:v>
      </x:c>
      <x:c r="P399" s="9" t="str">
        <x:v>NO</x:v>
      </x:c>
      <x:c r="Q399" s="9" t="str">
        <x:v>70-79</x:v>
      </x:c>
      <x:c r="R399" s="9" t="str">
        <x:v>NO</x:v>
      </x:c>
      <x:c r="S399" s="10" t="str">
        <x:v>MLB StatsAPI gamePk 824581 final feed checked 2026-06-28 AEST</x:v>
      </x:c>
      <x:c r="T399" s="10" t="str">
        <x:f>IF(IFERROR(ISNUMBER(SEARCH("http",S399)),FALSE),"YES","NO")</x:f>
        <x:v>NO</x:v>
      </x:c>
      <x:c r="U399" s="10" t="str">
        <x:v>NO</x:v>
      </x:c>
      <x:c r="V399" s="10" t="str">
        <x:v>NO</x:v>
      </x:c>
      <x:c r="W399" s="10" t="str">
        <x:v>LEGACY_UNVERIFIED_SNAPSHOT: no immutable cutoff/model/source packet</x:v>
      </x:c>
      <x:c r="X399" s="10" t="str">
        <x:v>legacy schema only</x:v>
      </x:c>
    </x:row>
    <x:row r="400">
      <x:c r="A400" s="9" t="n">
        <x:v>396</x:v>
      </x:c>
      <x:c r="B400" s="9" t="str">
        <x:v>MLB-20260627-KC-CHW</x:v>
      </x:c>
      <x:c r="C400" s="25" t="str">
        <x:v>2026-06-28</x:v>
      </x:c>
      <x:c r="D400" s="9" t="str">
        <x:v>Baseball</x:v>
      </x:c>
      <x:c r="E400" s="9" t="str">
        <x:v>Baseball/MLB</x:v>
      </x:c>
      <x:c r="F400" s="10" t="str">
        <x:v>Kansas City Royals at Chicago White Sox</x:v>
      </x:c>
      <x:c r="G400" s="10" t="str">
        <x:v>MLB regular season</x:v>
      </x:c>
      <x:c r="H400" s="10" t="str">
        <x:v>Royals +1.5 White Sox +1.5 total 8.0</x:v>
      </x:c>
      <x:c r="I400" s="9" t="n">
        <x:v>2</x:v>
      </x:c>
      <x:c r="J400" s="10" t="str">
        <x:v>Royals +1.5</x:v>
      </x:c>
      <x:c r="K400" s="9" t="str">
        <x:v>+1.5</x:v>
      </x:c>
      <x:c r="L400" s="23" t="n">
        <x:v>0.59</x:v>
      </x:c>
      <x:c r="M400" s="9" t="str">
        <x:v>W</x:v>
      </x:c>
      <x:c r="N400" s="9" t="n">
        <x:f>IF(M400="W",1,IF(M400="L",0,""))</x:f>
        <x:v>1</x:v>
      </x:c>
      <x:c r="O400" s="24" t="n">
        <x:f>IF(OR(M400="W",M400="L"),(L400-N400)^2,"")</x:f>
        <x:v>0.16810000000000003</x:v>
      </x:c>
      <x:c r="P400" s="9" t="str">
        <x:v>NO</x:v>
      </x:c>
      <x:c r="Q400" s="9" t="str">
        <x:v>50-59</x:v>
      </x:c>
      <x:c r="R400" s="9" t="str">
        <x:v>NO</x:v>
      </x:c>
      <x:c r="S400" s="10" t="str">
        <x:v>MLB StatsAPI gamePk 824581 final feed checked 2026-06-28 AEST</x:v>
      </x:c>
      <x:c r="T400" s="10" t="str">
        <x:f>IF(IFERROR(ISNUMBER(SEARCH("http",S400)),FALSE),"YES","NO")</x:f>
        <x:v>NO</x:v>
      </x:c>
      <x:c r="U400" s="10" t="str">
        <x:v>NO</x:v>
      </x:c>
      <x:c r="V400" s="10" t="str">
        <x:v>NO</x:v>
      </x:c>
      <x:c r="W400" s="10" t="str">
        <x:v>LEGACY_UNVERIFIED_SNAPSHOT: no immutable cutoff/model/source packet</x:v>
      </x:c>
      <x:c r="X400" s="10" t="str">
        <x:v>legacy schema only</x:v>
      </x:c>
    </x:row>
    <x:row r="401">
      <x:c r="A401" s="9" t="n">
        <x:v>397</x:v>
      </x:c>
      <x:c r="B401" s="9" t="str">
        <x:v>MLB-20260627-KC-CHW</x:v>
      </x:c>
      <x:c r="C401" s="25" t="str">
        <x:v>2026-06-28</x:v>
      </x:c>
      <x:c r="D401" s="9" t="str">
        <x:v>Baseball</x:v>
      </x:c>
      <x:c r="E401" s="9" t="str">
        <x:v>Baseball/MLB</x:v>
      </x:c>
      <x:c r="F401" s="10" t="str">
        <x:v>Kansas City Royals at Chicago White Sox</x:v>
      </x:c>
      <x:c r="G401" s="10" t="str">
        <x:v>MLB regular season</x:v>
      </x:c>
      <x:c r="H401" s="10" t="str">
        <x:v>Royals +1.5 White Sox +1.5 total 8.0</x:v>
      </x:c>
      <x:c r="I401" s="9" t="n">
        <x:v>3</x:v>
      </x:c>
      <x:c r="J401" s="10" t="str">
        <x:v>Combined Total Over 8.0</x:v>
      </x:c>
      <x:c r="K401" s="9" t="str">
        <x:v>Over 8.0</x:v>
      </x:c>
      <x:c r="L401" s="23" t="n">
        <x:v>0.49</x:v>
      </x:c>
      <x:c r="M401" s="9" t="str">
        <x:v>L</x:v>
      </x:c>
      <x:c r="N401" s="9" t="n">
        <x:f>IF(M401="W",1,IF(M401="L",0,""))</x:f>
        <x:v>0</x:v>
      </x:c>
      <x:c r="O401" s="24" t="n">
        <x:f>IF(OR(M401="W",M401="L"),(L401-N401)^2,"")</x:f>
        <x:v>0.24009999999999998</x:v>
      </x:c>
      <x:c r="P401" s="9" t="str">
        <x:v>YES</x:v>
      </x:c>
      <x:c r="Q401" s="9" t="str">
        <x:v>40-49</x:v>
      </x:c>
      <x:c r="R401" s="9" t="str">
        <x:v>NO</x:v>
      </x:c>
      <x:c r="S401" s="10" t="str">
        <x:v>MLB StatsAPI gamePk 824581 final feed checked 2026-06-28 AEST</x:v>
      </x:c>
      <x:c r="T401" s="10" t="str">
        <x:f>IF(IFERROR(ISNUMBER(SEARCH("http",S401)),FALSE),"YES","NO")</x:f>
        <x:v>NO</x:v>
      </x:c>
      <x:c r="U401" s="10" t="str">
        <x:v>NO</x:v>
      </x:c>
      <x:c r="V401" s="10" t="str">
        <x:v>NO</x:v>
      </x:c>
      <x:c r="W401" s="10" t="str">
        <x:v>LEGACY_UNVERIFIED_SNAPSHOT: no immutable cutoff/model/source packet</x:v>
      </x:c>
      <x:c r="X401" s="10" t="str">
        <x:v>exact_complement_selection</x:v>
      </x:c>
    </x:row>
    <x:row r="402">
      <x:c r="A402" s="9" t="n">
        <x:v>398</x:v>
      </x:c>
      <x:c r="B402" s="9" t="str">
        <x:v>MLB-20260627-KC-CHW</x:v>
      </x:c>
      <x:c r="C402" s="25" t="str">
        <x:v>2026-06-28</x:v>
      </x:c>
      <x:c r="D402" s="9" t="str">
        <x:v>Baseball</x:v>
      </x:c>
      <x:c r="E402" s="9" t="str">
        <x:v>Baseball/MLB</x:v>
      </x:c>
      <x:c r="F402" s="10" t="str">
        <x:v>Kansas City Royals at Chicago White Sox</x:v>
      </x:c>
      <x:c r="G402" s="10" t="str">
        <x:v>MLB regular season</x:v>
      </x:c>
      <x:c r="H402" s="10" t="str">
        <x:v>Royals +1.5 White Sox +1.5 total 8.0</x:v>
      </x:c>
      <x:c r="I402" s="9" t="n">
        <x:v>4</x:v>
      </x:c>
      <x:c r="J402" s="10" t="str">
        <x:v>Combined Total Under 8.0</x:v>
      </x:c>
      <x:c r="K402" s="9" t="str">
        <x:v>Under 8.0</x:v>
      </x:c>
      <x:c r="L402" s="23" t="n">
        <x:v>0.39</x:v>
      </x:c>
      <x:c r="M402" s="9" t="str">
        <x:v>W</x:v>
      </x:c>
      <x:c r="N402" s="9" t="n">
        <x:f>IF(M402="W",1,IF(M402="L",0,""))</x:f>
        <x:v>1</x:v>
      </x:c>
      <x:c r="O402" s="24" t="n">
        <x:f>IF(OR(M402="W",M402="L"),(L402-N402)^2,"")</x:f>
        <x:v>0.3721</x:v>
      </x:c>
      <x:c r="P402" s="9" t="str">
        <x:v>YES</x:v>
      </x:c>
      <x:c r="Q402" s="9" t="str">
        <x:v>30-39</x:v>
      </x:c>
      <x:c r="R402" s="9" t="str">
        <x:v>NO</x:v>
      </x:c>
      <x:c r="S402" s="10" t="str">
        <x:v>MLB StatsAPI gamePk 824581 final feed checked 2026-06-28 AEST</x:v>
      </x:c>
      <x:c r="T402" s="10" t="str">
        <x:f>IF(IFERROR(ISNUMBER(SEARCH("http",S402)),FALSE),"YES","NO")</x:f>
        <x:v>NO</x:v>
      </x:c>
      <x:c r="U402" s="10" t="str">
        <x:v>NO</x:v>
      </x:c>
      <x:c r="V402" s="10" t="str">
        <x:v>NO</x:v>
      </x:c>
      <x:c r="W402" s="10" t="str">
        <x:v>LEGACY_UNVERIFIED_SNAPSHOT: no immutable cutoff/model/source packet</x:v>
      </x:c>
      <x:c r="X402" s="10" t="str">
        <x:v>exact_complement_selection</x:v>
      </x:c>
    </x:row>
    <x:row r="403">
      <x:c r="A403" s="9" t="n">
        <x:v>399</x:v>
      </x:c>
      <x:c r="B403" s="9" t="str">
        <x:v>MLB-20260627-ARI-TB</x:v>
      </x:c>
      <x:c r="C403" s="25" t="str">
        <x:v>2026-06-28</x:v>
      </x:c>
      <x:c r="D403" s="9" t="str">
        <x:v>Baseball</x:v>
      </x:c>
      <x:c r="E403" s="9" t="str">
        <x:v>Baseball/MLB</x:v>
      </x:c>
      <x:c r="F403" s="10" t="str">
        <x:v>Arizona Diamondbacks at Tampa Bay Rays</x:v>
      </x:c>
      <x:c r="G403" s="10" t="str">
        <x:v>MLB regular season</x:v>
      </x:c>
      <x:c r="H403" s="10" t="str">
        <x:v>Diamondbacks +1.5 Rays +1.5 total 8.5</x:v>
      </x:c>
      <x:c r="I403" s="9" t="n">
        <x:v>1</x:v>
      </x:c>
      <x:c r="J403" s="10" t="str">
        <x:v>Rays +1.5</x:v>
      </x:c>
      <x:c r="K403" s="9" t="str">
        <x:v>+1.5</x:v>
      </x:c>
      <x:c r="L403" s="23" t="n">
        <x:v>0.71</x:v>
      </x:c>
      <x:c r="M403" s="9" t="str">
        <x:v>W</x:v>
      </x:c>
      <x:c r="N403" s="9" t="n">
        <x:f>IF(M403="W",1,IF(M403="L",0,""))</x:f>
        <x:v>1</x:v>
      </x:c>
      <x:c r="O403" s="24" t="n">
        <x:f>IF(OR(M403="W",M403="L"),(L403-N403)^2,"")</x:f>
        <x:v>0.08410000000000002</x:v>
      </x:c>
      <x:c r="P403" s="9" t="str">
        <x:v>NO</x:v>
      </x:c>
      <x:c r="Q403" s="9" t="str">
        <x:v>70-79</x:v>
      </x:c>
      <x:c r="R403" s="9" t="str">
        <x:v>NO</x:v>
      </x:c>
      <x:c r="S403" s="10" t="str">
        <x:v>MLB StatsAPI gamePk 822960 final feed checked 2026-06-28 AEST</x:v>
      </x:c>
      <x:c r="T403" s="10" t="str">
        <x:f>IF(IFERROR(ISNUMBER(SEARCH("http",S403)),FALSE),"YES","NO")</x:f>
        <x:v>NO</x:v>
      </x:c>
      <x:c r="U403" s="10" t="str">
        <x:v>NO</x:v>
      </x:c>
      <x:c r="V403" s="10" t="str">
        <x:v>NO</x:v>
      </x:c>
      <x:c r="W403" s="10" t="str">
        <x:v>LEGACY_UNVERIFIED_SNAPSHOT: no immutable cutoff/model/source packet</x:v>
      </x:c>
      <x:c r="X403" s="10" t="str">
        <x:v>legacy schema only</x:v>
      </x:c>
    </x:row>
    <x:row r="404">
      <x:c r="A404" s="9" t="n">
        <x:v>400</x:v>
      </x:c>
      <x:c r="B404" s="9" t="str">
        <x:v>MLB-20260627-ARI-TB</x:v>
      </x:c>
      <x:c r="C404" s="25" t="str">
        <x:v>2026-06-28</x:v>
      </x:c>
      <x:c r="D404" s="9" t="str">
        <x:v>Baseball</x:v>
      </x:c>
      <x:c r="E404" s="9" t="str">
        <x:v>Baseball/MLB</x:v>
      </x:c>
      <x:c r="F404" s="10" t="str">
        <x:v>Arizona Diamondbacks at Tampa Bay Rays</x:v>
      </x:c>
      <x:c r="G404" s="10" t="str">
        <x:v>MLB regular season</x:v>
      </x:c>
      <x:c r="H404" s="10" t="str">
        <x:v>Diamondbacks +1.5 Rays +1.5 total 8.5</x:v>
      </x:c>
      <x:c r="I404" s="9" t="n">
        <x:v>2</x:v>
      </x:c>
      <x:c r="J404" s="10" t="str">
        <x:v>Combined Total Under 8.5</x:v>
      </x:c>
      <x:c r="K404" s="9" t="str">
        <x:v>Under 8.5</x:v>
      </x:c>
      <x:c r="L404" s="23" t="n">
        <x:v>0.58</x:v>
      </x:c>
      <x:c r="M404" s="9" t="str">
        <x:v>W</x:v>
      </x:c>
      <x:c r="N404" s="9" t="n">
        <x:f>IF(M404="W",1,IF(M404="L",0,""))</x:f>
        <x:v>1</x:v>
      </x:c>
      <x:c r="O404" s="24" t="n">
        <x:f>IF(OR(M404="W",M404="L"),(L404-N404)^2,"")</x:f>
        <x:v>0.17640000000000003</x:v>
      </x:c>
      <x:c r="P404" s="9" t="str">
        <x:v>YES</x:v>
      </x:c>
      <x:c r="Q404" s="9" t="str">
        <x:v>50-59</x:v>
      </x:c>
      <x:c r="R404" s="9" t="str">
        <x:v>NO</x:v>
      </x:c>
      <x:c r="S404" s="10" t="str">
        <x:v>MLB StatsAPI gamePk 822960 final feed checked 2026-06-28 AEST</x:v>
      </x:c>
      <x:c r="T404" s="10" t="str">
        <x:f>IF(IFERROR(ISNUMBER(SEARCH("http",S404)),FALSE),"YES","NO")</x:f>
        <x:v>NO</x:v>
      </x:c>
      <x:c r="U404" s="10" t="str">
        <x:v>NO</x:v>
      </x:c>
      <x:c r="V404" s="10" t="str">
        <x:v>NO</x:v>
      </x:c>
      <x:c r="W404" s="10" t="str">
        <x:v>LEGACY_UNVERIFIED_SNAPSHOT: no immutable cutoff/model/source packet</x:v>
      </x:c>
      <x:c r="X404" s="10" t="str">
        <x:v>exact_complement_selection</x:v>
      </x:c>
    </x:row>
    <x:row r="405">
      <x:c r="A405" s="9" t="n">
        <x:v>401</x:v>
      </x:c>
      <x:c r="B405" s="9" t="str">
        <x:v>MLB-20260627-ARI-TB</x:v>
      </x:c>
      <x:c r="C405" s="25" t="str">
        <x:v>2026-06-28</x:v>
      </x:c>
      <x:c r="D405" s="9" t="str">
        <x:v>Baseball</x:v>
      </x:c>
      <x:c r="E405" s="9" t="str">
        <x:v>Baseball/MLB</x:v>
      </x:c>
      <x:c r="F405" s="10" t="str">
        <x:v>Arizona Diamondbacks at Tampa Bay Rays</x:v>
      </x:c>
      <x:c r="G405" s="10" t="str">
        <x:v>MLB regular season</x:v>
      </x:c>
      <x:c r="H405" s="10" t="str">
        <x:v>Diamondbacks +1.5 Rays +1.5 total 8.5</x:v>
      </x:c>
      <x:c r="I405" s="9" t="n">
        <x:v>3</x:v>
      </x:c>
      <x:c r="J405" s="10" t="str">
        <x:v>Diamondbacks +1.5</x:v>
      </x:c>
      <x:c r="K405" s="9" t="str">
        <x:v>+1.5</x:v>
      </x:c>
      <x:c r="L405" s="23" t="n">
        <x:v>0.54</x:v>
      </x:c>
      <x:c r="M405" s="9" t="str">
        <x:v>L</x:v>
      </x:c>
      <x:c r="N405" s="9" t="n">
        <x:f>IF(M405="W",1,IF(M405="L",0,""))</x:f>
        <x:v>0</x:v>
      </x:c>
      <x:c r="O405" s="24" t="n">
        <x:f>IF(OR(M405="W",M405="L"),(L405-N405)^2,"")</x:f>
        <x:v>0.2916</x:v>
      </x:c>
      <x:c r="P405" s="9" t="str">
        <x:v>NO</x:v>
      </x:c>
      <x:c r="Q405" s="9" t="str">
        <x:v>50-59</x:v>
      </x:c>
      <x:c r="R405" s="9" t="str">
        <x:v>NO</x:v>
      </x:c>
      <x:c r="S405" s="10" t="str">
        <x:v>MLB StatsAPI gamePk 822960 final feed checked 2026-06-28 AEST</x:v>
      </x:c>
      <x:c r="T405" s="10" t="str">
        <x:f>IF(IFERROR(ISNUMBER(SEARCH("http",S405)),FALSE),"YES","NO")</x:f>
        <x:v>NO</x:v>
      </x:c>
      <x:c r="U405" s="10" t="str">
        <x:v>NO</x:v>
      </x:c>
      <x:c r="V405" s="10" t="str">
        <x:v>NO</x:v>
      </x:c>
      <x:c r="W405" s="10" t="str">
        <x:v>LEGACY_UNVERIFIED_SNAPSHOT: no immutable cutoff/model/source packet</x:v>
      </x:c>
      <x:c r="X405" s="10" t="str">
        <x:v>legacy schema only</x:v>
      </x:c>
    </x:row>
    <x:row r="406">
      <x:c r="A406" s="9" t="n">
        <x:v>402</x:v>
      </x:c>
      <x:c r="B406" s="9" t="str">
        <x:v>MLB-20260627-ARI-TB</x:v>
      </x:c>
      <x:c r="C406" s="25" t="str">
        <x:v>2026-06-28</x:v>
      </x:c>
      <x:c r="D406" s="9" t="str">
        <x:v>Baseball</x:v>
      </x:c>
      <x:c r="E406" s="9" t="str">
        <x:v>Baseball/MLB</x:v>
      </x:c>
      <x:c r="F406" s="10" t="str">
        <x:v>Arizona Diamondbacks at Tampa Bay Rays</x:v>
      </x:c>
      <x:c r="G406" s="10" t="str">
        <x:v>MLB regular season</x:v>
      </x:c>
      <x:c r="H406" s="10" t="str">
        <x:v>Diamondbacks +1.5 Rays +1.5 total 8.5</x:v>
      </x:c>
      <x:c r="I406" s="9" t="n">
        <x:v>4</x:v>
      </x:c>
      <x:c r="J406" s="10" t="str">
        <x:v>Combined Total Over 8.5</x:v>
      </x:c>
      <x:c r="K406" s="9" t="str">
        <x:v>Over 8.5</x:v>
      </x:c>
      <x:c r="L406" s="23" t="n">
        <x:v>0.42</x:v>
      </x:c>
      <x:c r="M406" s="9" t="str">
        <x:v>L</x:v>
      </x:c>
      <x:c r="N406" s="9" t="n">
        <x:f>IF(M406="W",1,IF(M406="L",0,""))</x:f>
        <x:v>0</x:v>
      </x:c>
      <x:c r="O406" s="24" t="n">
        <x:f>IF(OR(M406="W",M406="L"),(L406-N406)^2,"")</x:f>
        <x:v>0.17639999999999997</x:v>
      </x:c>
      <x:c r="P406" s="9" t="str">
        <x:v>YES</x:v>
      </x:c>
      <x:c r="Q406" s="9" t="str">
        <x:v>40-49</x:v>
      </x:c>
      <x:c r="R406" s="9" t="str">
        <x:v>NO</x:v>
      </x:c>
      <x:c r="S406" s="10" t="str">
        <x:v>MLB StatsAPI gamePk 822960 final feed checked 2026-06-28 AEST</x:v>
      </x:c>
      <x:c r="T406" s="10" t="str">
        <x:f>IF(IFERROR(ISNUMBER(SEARCH("http",S406)),FALSE),"YES","NO")</x:f>
        <x:v>NO</x:v>
      </x:c>
      <x:c r="U406" s="10" t="str">
        <x:v>NO</x:v>
      </x:c>
      <x:c r="V406" s="10" t="str">
        <x:v>NO</x:v>
      </x:c>
      <x:c r="W406" s="10" t="str">
        <x:v>LEGACY_UNVERIFIED_SNAPSHOT: no immutable cutoff/model/source packet</x:v>
      </x:c>
      <x:c r="X406" s="10" t="str">
        <x:v>exact_complement_selection</x:v>
      </x:c>
    </x:row>
    <x:row r="407">
      <x:c r="A407" s="9" t="n">
        <x:v>403</x:v>
      </x:c>
      <x:c r="B407" s="9" t="str">
        <x:v>AFL-20260709-FRE-SYD</x:v>
      </x:c>
      <x:c r="C407" s="25" t="str">
        <x:v>2026-07-09</x:v>
      </x:c>
      <x:c r="D407" s="9" t="str">
        <x:v>Australian football</x:v>
      </x:c>
      <x:c r="E407" s="9" t="str">
        <x:v>AFL</x:v>
      </x:c>
      <x:c r="F407" s="10" t="str">
        <x:v>Fremantle Dockers vs Sydney Swans</x:v>
      </x:c>
      <x:c r="G407" s="10" t="str">
        <x:v>AFL Round 18</x:v>
      </x:c>
      <x:c r="H407" s="10" t="str">
        <x:v>Fremantle -14.5 Sydney +14.5 total 173.5</x:v>
      </x:c>
      <x:c r="I407" s="9" t="n">
        <x:v>1</x:v>
      </x:c>
      <x:c r="J407" s="10" t="str">
        <x:v>Sydney Swans +14.5</x:v>
      </x:c>
      <x:c r="K407" s="9" t="str">
        <x:v>+14.5</x:v>
      </x:c>
      <x:c r="L407" s="23" t="n">
        <x:v>0.58</x:v>
      </x:c>
      <x:c r="M407" s="9" t="str">
        <x:v>L</x:v>
      </x:c>
      <x:c r="N407" s="9" t="n">
        <x:f>IF(M407="W",1,IF(M407="L",0,""))</x:f>
        <x:v>0</x:v>
      </x:c>
      <x:c r="O407" s="24" t="n">
        <x:f>IF(OR(M407="W",M407="L"),(L407-N407)^2,"")</x:f>
        <x:v>0.3364</x:v>
      </x:c>
      <x:c r="P407" s="9" t="str">
        <x:v>YES</x:v>
      </x:c>
      <x:c r="Q407" s="9" t="str">
        <x:v>50-59</x:v>
      </x:c>
      <x:c r="R407" s="9" t="str">
        <x:v>NO</x:v>
      </x:c>
      <x:c r="S407" s="10" t="str">
        <x:v>AFL official match report checked 2026-07-10 AEST; ESPN gameId 1133635 final/team stats; Footyinfo quarter scores</x:v>
      </x:c>
      <x:c r="T407" s="10" t="str">
        <x:f>IF(IFERROR(ISNUMBER(SEARCH("http",S407)),FALSE),"YES","NO")</x:f>
        <x:v>NO</x:v>
      </x:c>
      <x:c r="U407" s="10" t="str">
        <x:v>NO</x:v>
      </x:c>
      <x:c r="V407" s="10" t="str">
        <x:v>NO</x:v>
      </x:c>
      <x:c r="W407" s="10" t="str">
        <x:v>LEGACY_UNVERIFIED_SNAPSHOT: no immutable cutoff/model/source packet</x:v>
      </x:c>
      <x:c r="X407" s="10" t="str">
        <x:v>projection_error; rank_error; exact_complement_selection</x:v>
      </x:c>
    </x:row>
    <x:row r="408">
      <x:c r="A408" s="9" t="n">
        <x:v>404</x:v>
      </x:c>
      <x:c r="B408" s="9" t="str">
        <x:v>AFL-20260709-FRE-SYD</x:v>
      </x:c>
      <x:c r="C408" s="25" t="str">
        <x:v>2026-07-09</x:v>
      </x:c>
      <x:c r="D408" s="9" t="str">
        <x:v>Australian football</x:v>
      </x:c>
      <x:c r="E408" s="9" t="str">
        <x:v>AFL</x:v>
      </x:c>
      <x:c r="F408" s="10" t="str">
        <x:v>Fremantle Dockers vs Sydney Swans</x:v>
      </x:c>
      <x:c r="G408" s="10" t="str">
        <x:v>AFL Round 18</x:v>
      </x:c>
      <x:c r="H408" s="10" t="str">
        <x:v>Fremantle -14.5 Sydney +14.5 total 173.5</x:v>
      </x:c>
      <x:c r="I408" s="9" t="n">
        <x:v>2</x:v>
      </x:c>
      <x:c r="J408" s="10" t="str">
        <x:v>Combined Total Over 173.5</x:v>
      </x:c>
      <x:c r="K408" s="9" t="str">
        <x:v>Over 173.5</x:v>
      </x:c>
      <x:c r="L408" s="23" t="n">
        <x:v>0.56</x:v>
      </x:c>
      <x:c r="M408" s="9" t="str">
        <x:v>W</x:v>
      </x:c>
      <x:c r="N408" s="9" t="n">
        <x:f>IF(M408="W",1,IF(M408="L",0,""))</x:f>
        <x:v>1</x:v>
      </x:c>
      <x:c r="O408" s="24" t="n">
        <x:f>IF(OR(M408="W",M408="L"),(L408-N408)^2,"")</x:f>
        <x:v>0.19359999999999997</x:v>
      </x:c>
      <x:c r="P408" s="9" t="str">
        <x:v>YES</x:v>
      </x:c>
      <x:c r="Q408" s="9" t="str">
        <x:v>50-59</x:v>
      </x:c>
      <x:c r="R408" s="9" t="str">
        <x:v>NO</x:v>
      </x:c>
      <x:c r="S408" s="10" t="str">
        <x:v>AFL official match report checked 2026-07-10 AEST; ESPN gameId 1133635 final/team stats; Footyinfo quarter scores</x:v>
      </x:c>
      <x:c r="T408" s="10" t="str">
        <x:f>IF(IFERROR(ISNUMBER(SEARCH("http",S408)),FALSE),"YES","NO")</x:f>
        <x:v>NO</x:v>
      </x:c>
      <x:c r="U408" s="10" t="str">
        <x:v>NO</x:v>
      </x:c>
      <x:c r="V408" s="10" t="str">
        <x:v>NO</x:v>
      </x:c>
      <x:c r="W408" s="10" t="str">
        <x:v>LEGACY_UNVERIFIED_SNAPSHOT: no immutable cutoff/model/source packet</x:v>
      </x:c>
      <x:c r="X408" s="10" t="str">
        <x:v>exact_complement_selection</x:v>
      </x:c>
    </x:row>
    <x:row r="409">
      <x:c r="A409" s="9" t="n">
        <x:v>405</x:v>
      </x:c>
      <x:c r="B409" s="9" t="str">
        <x:v>AFL-20260709-FRE-SYD</x:v>
      </x:c>
      <x:c r="C409" s="25" t="str">
        <x:v>2026-07-09</x:v>
      </x:c>
      <x:c r="D409" s="9" t="str">
        <x:v>Australian football</x:v>
      </x:c>
      <x:c r="E409" s="9" t="str">
        <x:v>AFL</x:v>
      </x:c>
      <x:c r="F409" s="10" t="str">
        <x:v>Fremantle Dockers vs Sydney Swans</x:v>
      </x:c>
      <x:c r="G409" s="10" t="str">
        <x:v>AFL Round 18</x:v>
      </x:c>
      <x:c r="H409" s="10" t="str">
        <x:v>Fremantle -14.5 Sydney +14.5 total 173.5</x:v>
      </x:c>
      <x:c r="I409" s="9" t="n">
        <x:v>3</x:v>
      </x:c>
      <x:c r="J409" s="10" t="str">
        <x:v>Fremantle -14.5</x:v>
      </x:c>
      <x:c r="K409" s="9" t="str">
        <x:v>-14.5</x:v>
      </x:c>
      <x:c r="L409" s="23" t="n">
        <x:v>0.48</x:v>
      </x:c>
      <x:c r="M409" s="9" t="str">
        <x:v>W</x:v>
      </x:c>
      <x:c r="N409" s="9" t="n">
        <x:f>IF(M409="W",1,IF(M409="L",0,""))</x:f>
        <x:v>1</x:v>
      </x:c>
      <x:c r="O409" s="24" t="n">
        <x:f>IF(OR(M409="W",M409="L"),(L409-N409)^2,"")</x:f>
        <x:v>0.27040000000000003</x:v>
      </x:c>
      <x:c r="P409" s="9" t="str">
        <x:v>YES</x:v>
      </x:c>
      <x:c r="Q409" s="9" t="str">
        <x:v>40-49</x:v>
      </x:c>
      <x:c r="R409" s="9" t="str">
        <x:v>NO</x:v>
      </x:c>
      <x:c r="S409" s="10" t="str">
        <x:v>AFL official match report checked 2026-07-10 AEST; ESPN gameId 1133635 final/team stats; Footyinfo quarter scores</x:v>
      </x:c>
      <x:c r="T409" s="10" t="str">
        <x:f>IF(IFERROR(ISNUMBER(SEARCH("http",S409)),FALSE),"YES","NO")</x:f>
        <x:v>NO</x:v>
      </x:c>
      <x:c r="U409" s="10" t="str">
        <x:v>NO</x:v>
      </x:c>
      <x:c r="V409" s="10" t="str">
        <x:v>NO</x:v>
      </x:c>
      <x:c r="W409" s="10" t="str">
        <x:v>LEGACY_UNVERIFIED_SNAPSHOT: no immutable cutoff/model/source packet</x:v>
      </x:c>
      <x:c r="X409" s="10" t="str">
        <x:v>projection_error; rank_error; exact_complement_selection</x:v>
      </x:c>
    </x:row>
    <x:row r="410">
      <x:c r="A410" s="9" t="n">
        <x:v>406</x:v>
      </x:c>
      <x:c r="B410" s="9" t="str">
        <x:v>AFL-20260709-FRE-SYD</x:v>
      </x:c>
      <x:c r="C410" s="25" t="str">
        <x:v>2026-07-09</x:v>
      </x:c>
      <x:c r="D410" s="9" t="str">
        <x:v>Australian football</x:v>
      </x:c>
      <x:c r="E410" s="9" t="str">
        <x:v>AFL</x:v>
      </x:c>
      <x:c r="F410" s="10" t="str">
        <x:v>Fremantle Dockers vs Sydney Swans</x:v>
      </x:c>
      <x:c r="G410" s="10" t="str">
        <x:v>AFL Round 18</x:v>
      </x:c>
      <x:c r="H410" s="10" t="str">
        <x:v>Fremantle -14.5 Sydney +14.5 total 173.5</x:v>
      </x:c>
      <x:c r="I410" s="9" t="n">
        <x:v>4</x:v>
      </x:c>
      <x:c r="J410" s="10" t="str">
        <x:v>Combined Total Under 173.5</x:v>
      </x:c>
      <x:c r="K410" s="9" t="str">
        <x:v>Under 173.5</x:v>
      </x:c>
      <x:c r="L410" s="23" t="n">
        <x:v>0.44</x:v>
      </x:c>
      <x:c r="M410" s="9" t="str">
        <x:v>L</x:v>
      </x:c>
      <x:c r="N410" s="9" t="n">
        <x:f>IF(M410="W",1,IF(M410="L",0,""))</x:f>
        <x:v>0</x:v>
      </x:c>
      <x:c r="O410" s="24" t="n">
        <x:f>IF(OR(M410="W",M410="L"),(L410-N410)^2,"")</x:f>
        <x:v>0.1936</x:v>
      </x:c>
      <x:c r="P410" s="9" t="str">
        <x:v>YES</x:v>
      </x:c>
      <x:c r="Q410" s="9" t="str">
        <x:v>40-49</x:v>
      </x:c>
      <x:c r="R410" s="9" t="str">
        <x:v>NO</x:v>
      </x:c>
      <x:c r="S410" s="10" t="str">
        <x:v>AFL official match report checked 2026-07-10 AEST; ESPN gameId 1133635 final/team stats; Footyinfo quarter scores</x:v>
      </x:c>
      <x:c r="T410" s="10" t="str">
        <x:f>IF(IFERROR(ISNUMBER(SEARCH("http",S410)),FALSE),"YES","NO")</x:f>
        <x:v>NO</x:v>
      </x:c>
      <x:c r="U410" s="10" t="str">
        <x:v>NO</x:v>
      </x:c>
      <x:c r="V410" s="10" t="str">
        <x:v>NO</x:v>
      </x:c>
      <x:c r="W410" s="10" t="str">
        <x:v>LEGACY_UNVERIFIED_SNAPSHOT: no immutable cutoff/model/source packet</x:v>
      </x:c>
      <x:c r="X410" s="10" t="str">
        <x:v>projection_error; rank_error; exact_complement_selection</x:v>
      </x:c>
    </x:row>
    <x:row r="411">
      <x:c r="A411" s="9" t="n">
        <x:v>407</x:v>
      </x:c>
      <x:c r="B411" s="9" t="str">
        <x:v>WNBA-20260711-CHI-LA</x:v>
      </x:c>
      <x:c r="C411" s="25" t="str">
        <x:v>2026-07-11</x:v>
      </x:c>
      <x:c r="D411" s="9" t="str">
        <x:v>Basketball</x:v>
      </x:c>
      <x:c r="E411" s="9" t="str">
        <x:v>Basketball</x:v>
      </x:c>
      <x:c r="F411" s="10" t="str">
        <x:v>Chicago Sky @ Los Angeles Sparks</x:v>
      </x:c>
      <x:c r="G411" s="10" t="str">
        <x:v>WNBA regular season</x:v>
      </x:c>
      <x:c r="H411" s="10" t="str">
        <x:v>Self-selected winner and user phase/full totals</x:v>
      </x:c>
      <x:c r="I411" s="9" t="n">
        <x:v>1</x:v>
      </x:c>
      <x:c r="J411" s="10" t="str">
        <x:v>Los Angeles Sparks moneyline</x:v>
      </x:c>
      <x:c r="K411" s="9" t="str">
        <x:v>Moneyline</x:v>
      </x:c>
      <x:c r="L411" s="23" t="n">
        <x:v>0.55</x:v>
      </x:c>
      <x:c r="M411" s="9" t="str">
        <x:v>W</x:v>
      </x:c>
      <x:c r="N411" s="9" t="n">
        <x:f>IF(M411="W",1,IF(M411="L",0,""))</x:f>
        <x:v>1</x:v>
      </x:c>
      <x:c r="O411" s="24" t="n">
        <x:f>IF(OR(M411="W",M411="L"),(L411-N411)^2,"")</x:f>
        <x:v>0.20249999999999996</x:v>
      </x:c>
      <x:c r="P411" s="9" t="str">
        <x:v>NO</x:v>
      </x:c>
      <x:c r="Q411" s="9" t="str">
        <x:v>50-59</x:v>
      </x:c>
      <x:c r="R411" s="9" t="str">
        <x:v>NO</x:v>
      </x:c>
      <x:c r="S411" s="10" t="str">
        <x:v>ESPN WNBA summary API final event 401857056 checked 2026-07-11 AEST</x:v>
      </x:c>
      <x:c r="T411" s="10" t="str">
        <x:f>IF(IFERROR(ISNUMBER(SEARCH("http",S411)),FALSE),"YES","NO")</x:f>
        <x:v>NO</x:v>
      </x:c>
      <x:c r="U411" s="10" t="str">
        <x:v>NO</x:v>
      </x:c>
      <x:c r="V411" s="10" t="str">
        <x:v>NO</x:v>
      </x:c>
      <x:c r="W411" s="10" t="str">
        <x:v>LEGACY_UNVERIFIED_SNAPSHOT: no immutable cutoff/model/source packet</x:v>
      </x:c>
      <x:c r="X411" s="10" t="str">
        <x:v>legacy schema only</x:v>
      </x:c>
    </x:row>
    <x:row r="412">
      <x:c r="A412" s="9" t="n">
        <x:v>408</x:v>
      </x:c>
      <x:c r="B412" s="9" t="str">
        <x:v>WNBA-20260711-CHI-LA</x:v>
      </x:c>
      <x:c r="C412" s="25" t="str">
        <x:v>2026-07-11</x:v>
      </x:c>
      <x:c r="D412" s="9" t="str">
        <x:v>Basketball</x:v>
      </x:c>
      <x:c r="E412" s="9" t="str">
        <x:v>Basketball</x:v>
      </x:c>
      <x:c r="F412" s="10" t="str">
        <x:v>Chicago Sky @ Los Angeles Sparks</x:v>
      </x:c>
      <x:c r="G412" s="10" t="str">
        <x:v>WNBA regular season</x:v>
      </x:c>
      <x:c r="H412" s="10" t="str">
        <x:v>Self-selected winner and user phase/full totals</x:v>
      </x:c>
      <x:c r="I412" s="9" t="n">
        <x:v>2</x:v>
      </x:c>
      <x:c r="J412" s="10" t="str">
        <x:v>Combined first-half Under 86.5</x:v>
      </x:c>
      <x:c r="K412" s="9" t="str">
        <x:v>86.5</x:v>
      </x:c>
      <x:c r="L412" s="23" t="n">
        <x:v>0.54</x:v>
      </x:c>
      <x:c r="M412" s="9" t="str">
        <x:v>L</x:v>
      </x:c>
      <x:c r="N412" s="9" t="n">
        <x:f>IF(M412="W",1,IF(M412="L",0,""))</x:f>
        <x:v>0</x:v>
      </x:c>
      <x:c r="O412" s="24" t="n">
        <x:f>IF(OR(M412="W",M412="L"),(L412-N412)^2,"")</x:f>
        <x:v>0.2916</x:v>
      </x:c>
      <x:c r="P412" s="9" t="str">
        <x:v>NO</x:v>
      </x:c>
      <x:c r="Q412" s="9" t="str">
        <x:v>50-59</x:v>
      </x:c>
      <x:c r="R412" s="9" t="str">
        <x:v>NO</x:v>
      </x:c>
      <x:c r="S412" s="10" t="str">
        <x:v>ESPN WNBA summary API final event 401857056 checked 2026-07-11 AEST</x:v>
      </x:c>
      <x:c r="T412" s="10" t="str">
        <x:f>IF(IFERROR(ISNUMBER(SEARCH("http",S412)),FALSE),"YES","NO")</x:f>
        <x:v>NO</x:v>
      </x:c>
      <x:c r="U412" s="10" t="str">
        <x:v>NO</x:v>
      </x:c>
      <x:c r="V412" s="10" t="str">
        <x:v>NO</x:v>
      </x:c>
      <x:c r="W412" s="10" t="str">
        <x:v>LEGACY_UNVERIFIED_SNAPSHOT: no immutable cutoff/model/source packet</x:v>
      </x:c>
      <x:c r="X412" s="10" t="str">
        <x:v>projection_error</x:v>
      </x:c>
    </x:row>
    <x:row r="413">
      <x:c r="A413" s="9" t="n">
        <x:v>409</x:v>
      </x:c>
      <x:c r="B413" s="9" t="str">
        <x:v>WNBA-20260711-CHI-LA</x:v>
      </x:c>
      <x:c r="C413" s="25" t="str">
        <x:v>2026-07-11</x:v>
      </x:c>
      <x:c r="D413" s="9" t="str">
        <x:v>Basketball</x:v>
      </x:c>
      <x:c r="E413" s="9" t="str">
        <x:v>Basketball</x:v>
      </x:c>
      <x:c r="F413" s="10" t="str">
        <x:v>Chicago Sky @ Los Angeles Sparks</x:v>
      </x:c>
      <x:c r="G413" s="10" t="str">
        <x:v>WNBA regular season</x:v>
      </x:c>
      <x:c r="H413" s="10" t="str">
        <x:v>Self-selected winner and user phase/full totals</x:v>
      </x:c>
      <x:c r="I413" s="9" t="n">
        <x:v>3</x:v>
      </x:c>
      <x:c r="J413" s="10" t="str">
        <x:v>Combined first-quarter Under 44.0</x:v>
      </x:c>
      <x:c r="K413" s="9" t="str">
        <x:v>44.0</x:v>
      </x:c>
      <x:c r="L413" s="23" t="n">
        <x:v>0.53</x:v>
      </x:c>
      <x:c r="M413" s="9" t="str">
        <x:v>L</x:v>
      </x:c>
      <x:c r="N413" s="9" t="n">
        <x:f>IF(M413="W",1,IF(M413="L",0,""))</x:f>
        <x:v>0</x:v>
      </x:c>
      <x:c r="O413" s="24" t="n">
        <x:f>IF(OR(M413="W",M413="L"),(L413-N413)^2,"")</x:f>
        <x:v>0.28090000000000004</x:v>
      </x:c>
      <x:c r="P413" s="9" t="str">
        <x:v>NO</x:v>
      </x:c>
      <x:c r="Q413" s="9" t="str">
        <x:v>50-59</x:v>
      </x:c>
      <x:c r="R413" s="9" t="str">
        <x:v>NO</x:v>
      </x:c>
      <x:c r="S413" s="10" t="str">
        <x:v>ESPN WNBA summary API final event 401857056 checked 2026-07-11 AEST</x:v>
      </x:c>
      <x:c r="T413" s="10" t="str">
        <x:f>IF(IFERROR(ISNUMBER(SEARCH("http",S413)),FALSE),"YES","NO")</x:f>
        <x:v>NO</x:v>
      </x:c>
      <x:c r="U413" s="10" t="str">
        <x:v>NO</x:v>
      </x:c>
      <x:c r="V413" s="10" t="str">
        <x:v>NO</x:v>
      </x:c>
      <x:c r="W413" s="10" t="str">
        <x:v>LEGACY_UNVERIFIED_SNAPSHOT: no immutable cutoff/model/source packet</x:v>
      </x:c>
      <x:c r="X413" s="10" t="str">
        <x:v>projection_error</x:v>
      </x:c>
    </x:row>
    <x:row r="414">
      <x:c r="A414" s="9" t="n">
        <x:v>410</x:v>
      </x:c>
      <x:c r="B414" s="9" t="str">
        <x:v>WNBA-20260711-CHI-LA</x:v>
      </x:c>
      <x:c r="C414" s="25" t="str">
        <x:v>2026-07-11</x:v>
      </x:c>
      <x:c r="D414" s="9" t="str">
        <x:v>Basketball</x:v>
      </x:c>
      <x:c r="E414" s="9" t="str">
        <x:v>Basketball</x:v>
      </x:c>
      <x:c r="F414" s="10" t="str">
        <x:v>Chicago Sky @ Los Angeles Sparks</x:v>
      </x:c>
      <x:c r="G414" s="10" t="str">
        <x:v>WNBA regular season</x:v>
      </x:c>
      <x:c r="H414" s="10" t="str">
        <x:v>Self-selected winner and user phase/full totals</x:v>
      </x:c>
      <x:c r="I414" s="9" t="n">
        <x:v>4</x:v>
      </x:c>
      <x:c r="J414" s="10" t="str">
        <x:v>Combined full-game Over 176.5</x:v>
      </x:c>
      <x:c r="K414" s="9" t="str">
        <x:v>176.5</x:v>
      </x:c>
      <x:c r="L414" s="23" t="n">
        <x:v>0.51</x:v>
      </x:c>
      <x:c r="M414" s="9" t="str">
        <x:v>W</x:v>
      </x:c>
      <x:c r="N414" s="9" t="n">
        <x:f>IF(M414="W",1,IF(M414="L",0,""))</x:f>
        <x:v>1</x:v>
      </x:c>
      <x:c r="O414" s="24" t="n">
        <x:f>IF(OR(M414="W",M414="L"),(L414-N414)^2,"")</x:f>
        <x:v>0.24009999999999998</x:v>
      </x:c>
      <x:c r="P414" s="9" t="str">
        <x:v>NO</x:v>
      </x:c>
      <x:c r="Q414" s="9" t="str">
        <x:v>50-59</x:v>
      </x:c>
      <x:c r="R414" s="9" t="str">
        <x:v>NO</x:v>
      </x:c>
      <x:c r="S414" s="10" t="str">
        <x:v>ESPN WNBA summary API final event 401857056 checked 2026-07-11 AEST</x:v>
      </x:c>
      <x:c r="T414" s="10" t="str">
        <x:f>IF(IFERROR(ISNUMBER(SEARCH("http",S414)),FALSE),"YES","NO")</x:f>
        <x:v>NO</x:v>
      </x:c>
      <x:c r="U414" s="10" t="str">
        <x:v>NO</x:v>
      </x:c>
      <x:c r="V414" s="10" t="str">
        <x:v>NO</x:v>
      </x:c>
      <x:c r="W414" s="10" t="str">
        <x:v>LEGACY_UNVERIFIED_SNAPSHOT: no immutable cutoff/model/source packet</x:v>
      </x:c>
      <x:c r="X414" s="10" t="str">
        <x:v>projection_error; rank_error</x:v>
      </x:c>
    </x:row>
    <x:row r="415">
      <x:c r="A415" s="9" t="n">
        <x:v>411</x:v>
      </x:c>
      <x:c r="B415" s="9" t="str">
        <x:v>WNBA-20260711-CHI-LA-Q1-LIVE</x:v>
      </x:c>
      <x:c r="C415" s="25" t="str">
        <x:v>2026-07-11</x:v>
      </x:c>
      <x:c r="D415" s="9" t="str">
        <x:v>Basketball</x:v>
      </x:c>
      <x:c r="E415" s="9" t="str">
        <x:v>Basketball</x:v>
      </x:c>
      <x:c r="F415" s="10" t="str">
        <x:v>Chicago Sky @ Los Angeles Sparks</x:v>
      </x:c>
      <x:c r="G415" s="10" t="str">
        <x:v>WNBA regular season live Q1</x:v>
      </x:c>
      <x:c r="H415" s="10" t="str">
        <x:v>Live first-quarter total</x:v>
      </x:c>
      <x:c r="I415" s="9" t="n">
        <x:v>1</x:v>
      </x:c>
      <x:c r="J415" s="10" t="str">
        <x:v>Combined first-quarter Under 45.5</x:v>
      </x:c>
      <x:c r="K415" s="9" t="str">
        <x:v>45.5</x:v>
      </x:c>
      <x:c r="L415" s="23" t="n">
        <x:v>0.52</x:v>
      </x:c>
      <x:c r="M415" s="9" t="str">
        <x:v>L</x:v>
      </x:c>
      <x:c r="N415" s="9" t="n">
        <x:f>IF(M415="W",1,IF(M415="L",0,""))</x:f>
        <x:v>0</x:v>
      </x:c>
      <x:c r="O415" s="24" t="n">
        <x:f>IF(OR(M415="W",M415="L"),(L415-N415)^2,"")</x:f>
        <x:v>0.27040000000000003</x:v>
      </x:c>
      <x:c r="P415" s="9" t="str">
        <x:v>NO</x:v>
      </x:c>
      <x:c r="Q415" s="9" t="str">
        <x:v>50-59</x:v>
      </x:c>
      <x:c r="R415" s="9" t="str">
        <x:v>NO</x:v>
      </x:c>
      <x:c r="S415" s="10" t="str">
        <x:v>ESPN WNBA summary API final event 401857056 checked 2026-07-11 AEST</x:v>
      </x:c>
      <x:c r="T415" s="10" t="str">
        <x:f>IF(IFERROR(ISNUMBER(SEARCH("http",S415)),FALSE),"YES","NO")</x:f>
        <x:v>NO</x:v>
      </x:c>
      <x:c r="U415" s="10" t="str">
        <x:v>NO</x:v>
      </x:c>
      <x:c r="V415" s="10" t="str">
        <x:v>NO</x:v>
      </x:c>
      <x:c r="W415" s="10" t="str">
        <x:v>LEGACY_UNVERIFIED_SNAPSHOT: no immutable cutoff/model/source packet</x:v>
      </x:c>
      <x:c r="X415" s="10" t="str">
        <x:v>projection_error</x:v>
      </x:c>
    </x:row>
    <x:row r="416">
      <x:c r="A416" s="9" t="n">
        <x:v>412</x:v>
      </x:c>
      <x:c r="B416" s="9" t="str">
        <x:v>MLC-20260712-TSK-WF</x:v>
      </x:c>
      <x:c r="C416" s="25" t="str">
        <x:v>2026-07-12</x:v>
      </x:c>
      <x:c r="D416" s="9" t="str">
        <x:v>Cricket</x:v>
      </x:c>
      <x:c r="E416" s="9" t="str">
        <x:v>Cricket/T20</x:v>
      </x:c>
      <x:c r="F416" s="10" t="str">
        <x:v>Texas Super Kings vs Washington Freedom</x:v>
      </x:c>
      <x:c r="G416" s="10" t="str">
        <x:v>Major League Cricket 2026 Match 27</x:v>
      </x:c>
      <x:c r="H416" s="10" t="str">
        <x:v>TSK 179.5 and PP 54.5</x:v>
      </x:c>
      <x:c r="I416" s="9" t="n">
        <x:v>1</x:v>
      </x:c>
      <x:c r="J416" s="10" t="str">
        <x:v>TSK full Under 179.5</x:v>
      </x:c>
      <x:c r="K416" s="9" t="str">
        <x:v>179.5</x:v>
      </x:c>
      <x:c r="L416" s="23" t="n">
        <x:v>0.66</x:v>
      </x:c>
      <x:c r="M416" s="9" t="str">
        <x:v>W</x:v>
      </x:c>
      <x:c r="N416" s="9" t="n">
        <x:f>IF(M416="W",1,IF(M416="L",0,""))</x:f>
        <x:v>1</x:v>
      </x:c>
      <x:c r="O416" s="24" t="n">
        <x:f>IF(OR(M416="W",M416="L"),(L416-N416)^2,"")</x:f>
        <x:v>0.11559999999999998</x:v>
      </x:c>
      <x:c r="P416" s="9" t="str">
        <x:v>YES</x:v>
      </x:c>
      <x:c r="Q416" s="9" t="str">
        <x:v>60-69</x:v>
      </x:c>
      <x:c r="R416" s="9" t="str">
        <x:v>NO</x:v>
      </x:c>
      <x:c r="S416" s="10" t="str">
        <x:v>Cricbuzz final scorecard/commentary; Washington Freedom results</x:v>
      </x:c>
      <x:c r="T416" s="10" t="str">
        <x:f>IF(IFERROR(ISNUMBER(SEARCH("http",S416)),FALSE),"YES","NO")</x:f>
        <x:v>NO</x:v>
      </x:c>
      <x:c r="U416" s="10" t="str">
        <x:v>NO</x:v>
      </x:c>
      <x:c r="V416" s="10" t="str">
        <x:v>NO</x:v>
      </x:c>
      <x:c r="W416" s="10" t="str">
        <x:v>LEGACY_UNVERIFIED_SNAPSHOT: no immutable cutoff/model/source packet</x:v>
      </x:c>
      <x:c r="X416" s="10" t="str">
        <x:v>exact_complement_selection</x:v>
      </x:c>
    </x:row>
    <x:row r="417">
      <x:c r="A417" s="9" t="n">
        <x:v>413</x:v>
      </x:c>
      <x:c r="B417" s="9" t="str">
        <x:v>MLC-20260712-TSK-WF</x:v>
      </x:c>
      <x:c r="C417" s="25" t="str">
        <x:v>2026-07-12</x:v>
      </x:c>
      <x:c r="D417" s="9" t="str">
        <x:v>Cricket</x:v>
      </x:c>
      <x:c r="E417" s="9" t="str">
        <x:v>Cricket/T20</x:v>
      </x:c>
      <x:c r="F417" s="10" t="str">
        <x:v>Texas Super Kings vs Washington Freedom</x:v>
      </x:c>
      <x:c r="G417" s="10" t="str">
        <x:v>Major League Cricket 2026 Match 27</x:v>
      </x:c>
      <x:c r="H417" s="10" t="str">
        <x:v>TSK 179.5 and PP 54.5</x:v>
      </x:c>
      <x:c r="I417" s="9" t="n">
        <x:v>2</x:v>
      </x:c>
      <x:c r="J417" s="10" t="str">
        <x:v>TSK PP Under 54.5</x:v>
      </x:c>
      <x:c r="K417" s="9" t="str">
        <x:v>54.5</x:v>
      </x:c>
      <x:c r="L417" s="23" t="n">
        <x:v>0.64</x:v>
      </x:c>
      <x:c r="M417" s="9" t="str">
        <x:v>L</x:v>
      </x:c>
      <x:c r="N417" s="9" t="n">
        <x:f>IF(M417="W",1,IF(M417="L",0,""))</x:f>
        <x:v>0</x:v>
      </x:c>
      <x:c r="O417" s="24" t="n">
        <x:f>IF(OR(M417="W",M417="L"),(L417-N417)^2,"")</x:f>
        <x:v>0.4096</x:v>
      </x:c>
      <x:c r="P417" s="9" t="str">
        <x:v>YES</x:v>
      </x:c>
      <x:c r="Q417" s="9" t="str">
        <x:v>60-69</x:v>
      </x:c>
      <x:c r="R417" s="9" t="str">
        <x:v>NO</x:v>
      </x:c>
      <x:c r="S417" s="10" t="str">
        <x:v>Cricbuzz final scorecard/commentary; Washington Freedom results</x:v>
      </x:c>
      <x:c r="T417" s="10" t="str">
        <x:f>IF(IFERROR(ISNUMBER(SEARCH("http",S417)),FALSE),"YES","NO")</x:f>
        <x:v>NO</x:v>
      </x:c>
      <x:c r="U417" s="10" t="str">
        <x:v>NO</x:v>
      </x:c>
      <x:c r="V417" s="10" t="str">
        <x:v>NO</x:v>
      </x:c>
      <x:c r="W417" s="10" t="str">
        <x:v>LEGACY_UNVERIFIED_SNAPSHOT: no immutable cutoff/model/source packet</x:v>
      </x:c>
      <x:c r="X417" s="10" t="str">
        <x:v>projection_error; rank_error; exact_complement_selection</x:v>
      </x:c>
    </x:row>
    <x:row r="418">
      <x:c r="A418" s="9" t="n">
        <x:v>414</x:v>
      </x:c>
      <x:c r="B418" s="9" t="str">
        <x:v>MLC-20260712-TSK-WF</x:v>
      </x:c>
      <x:c r="C418" s="25" t="str">
        <x:v>2026-07-12</x:v>
      </x:c>
      <x:c r="D418" s="9" t="str">
        <x:v>Cricket</x:v>
      </x:c>
      <x:c r="E418" s="9" t="str">
        <x:v>Cricket/T20</x:v>
      </x:c>
      <x:c r="F418" s="10" t="str">
        <x:v>Texas Super Kings vs Washington Freedom</x:v>
      </x:c>
      <x:c r="G418" s="10" t="str">
        <x:v>Major League Cricket 2026 Match 27</x:v>
      </x:c>
      <x:c r="H418" s="10" t="str">
        <x:v>TSK 179.5 and PP 54.5</x:v>
      </x:c>
      <x:c r="I418" s="9" t="n">
        <x:v>3</x:v>
      </x:c>
      <x:c r="J418" s="10" t="str">
        <x:v>TSK PP Over 54.5</x:v>
      </x:c>
      <x:c r="K418" s="9" t="str">
        <x:v>54.5</x:v>
      </x:c>
      <x:c r="L418" s="23" t="n">
        <x:v>0.36</x:v>
      </x:c>
      <x:c r="M418" s="9" t="str">
        <x:v>W</x:v>
      </x:c>
      <x:c r="N418" s="9" t="n">
        <x:f>IF(M418="W",1,IF(M418="L",0,""))</x:f>
        <x:v>1</x:v>
      </x:c>
      <x:c r="O418" s="24" t="n">
        <x:f>IF(OR(M418="W",M418="L"),(L418-N418)^2,"")</x:f>
        <x:v>0.4096</x:v>
      </x:c>
      <x:c r="P418" s="9" t="str">
        <x:v>YES</x:v>
      </x:c>
      <x:c r="Q418" s="9" t="str">
        <x:v>30-39</x:v>
      </x:c>
      <x:c r="R418" s="9" t="str">
        <x:v>NO</x:v>
      </x:c>
      <x:c r="S418" s="10" t="str">
        <x:v>Cricbuzz final scorecard/commentary; Washington Freedom results</x:v>
      </x:c>
      <x:c r="T418" s="10" t="str">
        <x:f>IF(IFERROR(ISNUMBER(SEARCH("http",S418)),FALSE),"YES","NO")</x:f>
        <x:v>NO</x:v>
      </x:c>
      <x:c r="U418" s="10" t="str">
        <x:v>NO</x:v>
      </x:c>
      <x:c r="V418" s="10" t="str">
        <x:v>NO</x:v>
      </x:c>
      <x:c r="W418" s="10" t="str">
        <x:v>LEGACY_UNVERIFIED_SNAPSHOT: no immutable cutoff/model/source packet</x:v>
      </x:c>
      <x:c r="X418" s="10" t="str">
        <x:v>projection_error; rank_error; exact_complement_selection</x:v>
      </x:c>
    </x:row>
    <x:row r="419">
      <x:c r="A419" s="9" t="n">
        <x:v>415</x:v>
      </x:c>
      <x:c r="B419" s="9" t="str">
        <x:v>MLC-20260712-TSK-WF</x:v>
      </x:c>
      <x:c r="C419" s="25" t="str">
        <x:v>2026-07-12</x:v>
      </x:c>
      <x:c r="D419" s="9" t="str">
        <x:v>Cricket</x:v>
      </x:c>
      <x:c r="E419" s="9" t="str">
        <x:v>Cricket/T20</x:v>
      </x:c>
      <x:c r="F419" s="10" t="str">
        <x:v>Texas Super Kings vs Washington Freedom</x:v>
      </x:c>
      <x:c r="G419" s="10" t="str">
        <x:v>Major League Cricket 2026 Match 27</x:v>
      </x:c>
      <x:c r="H419" s="10" t="str">
        <x:v>TSK 179.5 and PP 54.5</x:v>
      </x:c>
      <x:c r="I419" s="9" t="n">
        <x:v>4</x:v>
      </x:c>
      <x:c r="J419" s="10" t="str">
        <x:v>TSK full Over 179.5</x:v>
      </x:c>
      <x:c r="K419" s="9" t="str">
        <x:v>179.5</x:v>
      </x:c>
      <x:c r="L419" s="23" t="n">
        <x:v>0.34</x:v>
      </x:c>
      <x:c r="M419" s="9" t="str">
        <x:v>L</x:v>
      </x:c>
      <x:c r="N419" s="9" t="n">
        <x:f>IF(M419="W",1,IF(M419="L",0,""))</x:f>
        <x:v>0</x:v>
      </x:c>
      <x:c r="O419" s="24" t="n">
        <x:f>IF(OR(M419="W",M419="L"),(L419-N419)^2,"")</x:f>
        <x:v>0.11560000000000002</x:v>
      </x:c>
      <x:c r="P419" s="9" t="str">
        <x:v>YES</x:v>
      </x:c>
      <x:c r="Q419" s="9" t="str">
        <x:v>30-39</x:v>
      </x:c>
      <x:c r="R419" s="9" t="str">
        <x:v>NO</x:v>
      </x:c>
      <x:c r="S419" s="10" t="str">
        <x:v>Cricbuzz final scorecard/commentary; Washington Freedom results</x:v>
      </x:c>
      <x:c r="T419" s="10" t="str">
        <x:f>IF(IFERROR(ISNUMBER(SEARCH("http",S419)),FALSE),"YES","NO")</x:f>
        <x:v>NO</x:v>
      </x:c>
      <x:c r="U419" s="10" t="str">
        <x:v>NO</x:v>
      </x:c>
      <x:c r="V419" s="10" t="str">
        <x:v>NO</x:v>
      </x:c>
      <x:c r="W419" s="10" t="str">
        <x:v>LEGACY_UNVERIFIED_SNAPSHOT: no immutable cutoff/model/source packet</x:v>
      </x:c>
      <x:c r="X419" s="10" t="str">
        <x:v>exact_complement_selection</x:v>
      </x:c>
    </x:row>
    <x:row r="420">
      <x:c r="A420" s="9" t="n">
        <x:v>416</x:v>
      </x:c>
      <x:c r="B420" s="9" t="str">
        <x:v>SOC-20260712-NOR-ENG</x:v>
      </x:c>
      <x:c r="C420" s="25" t="str">
        <x:v>2026-07-12</x:v>
      </x:c>
      <x:c r="D420" s="9" t="str">
        <x:v>Soccer</x:v>
      </x:c>
      <x:c r="E420" s="9" t="str">
        <x:v>Soccer</x:v>
      </x:c>
      <x:c r="F420" s="10" t="str">
        <x:v>Norway vs England</x:v>
      </x:c>
      <x:c r="G420" s="10" t="str">
        <x:v>FIFA World Cup 2026 quarter-final</x:v>
      </x:c>
      <x:c r="H420" s="10" t="str">
        <x:v>Regulation safety props</x:v>
      </x:c>
      <x:c r="I420" s="9" t="n">
        <x:v>1</x:v>
      </x:c>
      <x:c r="J420" s="10" t="str">
        <x:v>Erling Haaland 1+ regulation SOT</x:v>
      </x:c>
      <x:c r="K420" s="9" t="str">
        <x:v>prop</x:v>
      </x:c>
      <x:c r="L420" s="23" t="n">
        <x:v>0.86</x:v>
      </x:c>
      <x:c r="M420" s="9" t="str">
        <x:v>W</x:v>
      </x:c>
      <x:c r="N420" s="9" t="n">
        <x:f>IF(M420="W",1,IF(M420="L",0,""))</x:f>
        <x:v>1</x:v>
      </x:c>
      <x:c r="O420" s="24" t="n">
        <x:f>IF(OR(M420="W",M420="L"),(L420-N420)^2,"")</x:f>
        <x:v>0.019600000000000003</x:v>
      </x:c>
      <x:c r="P420" s="9" t="str">
        <x:v>NO</x:v>
      </x:c>
      <x:c r="Q420" s="9" t="str">
        <x:v>60-69</x:v>
      </x:c>
      <x:c r="R420" s="9" t="str">
        <x:v>YES</x:v>
      </x:c>
      <x:c r="S420" s="10" t="str">
        <x:v>ESPN event 760512; AP/Guardian</x:v>
      </x:c>
      <x:c r="T420" s="10" t="str">
        <x:f>IF(IFERROR(ISNUMBER(SEARCH("http",S420)),FALSE),"YES","NO")</x:f>
        <x:v>NO</x:v>
      </x:c>
      <x:c r="U420" s="10" t="str">
        <x:v>NO</x:v>
      </x:c>
      <x:c r="V420" s="10" t="str">
        <x:v>NO</x:v>
      </x:c>
      <x:c r="W420" s="10" t="str">
        <x:v>LEGACY_UNVERIFIED_SNAPSHOT: no immutable cutoff/model/source packet</x:v>
      </x:c>
      <x:c r="X420" s="10" t="str">
        <x:v>legacy schema only</x:v>
      </x:c>
    </x:row>
    <x:row r="421">
      <x:c r="A421" s="9" t="n">
        <x:v>417</x:v>
      </x:c>
      <x:c r="B421" s="9" t="str">
        <x:v>SOC-20260712-NOR-ENG</x:v>
      </x:c>
      <x:c r="C421" s="25" t="str">
        <x:v>2026-07-12</x:v>
      </x:c>
      <x:c r="D421" s="9" t="str">
        <x:v>Soccer</x:v>
      </x:c>
      <x:c r="E421" s="9" t="str">
        <x:v>Soccer</x:v>
      </x:c>
      <x:c r="F421" s="10" t="str">
        <x:v>Norway vs England</x:v>
      </x:c>
      <x:c r="G421" s="10" t="str">
        <x:v>FIFA World Cup 2026 quarter-final</x:v>
      </x:c>
      <x:c r="H421" s="10" t="str">
        <x:v>Regulation safety props</x:v>
      </x:c>
      <x:c r="I421" s="9" t="n">
        <x:v>2</x:v>
      </x:c>
      <x:c r="J421" s="10" t="str">
        <x:v>England TT Over 0.5 regulation</x:v>
      </x:c>
      <x:c r="K421" s="9" t="str">
        <x:v>0.5</x:v>
      </x:c>
      <x:c r="L421" s="23" t="n">
        <x:v>0.82</x:v>
      </x:c>
      <x:c r="M421" s="9" t="str">
        <x:v>W</x:v>
      </x:c>
      <x:c r="N421" s="9" t="n">
        <x:f>IF(M421="W",1,IF(M421="L",0,""))</x:f>
        <x:v>1</x:v>
      </x:c>
      <x:c r="O421" s="24" t="n">
        <x:f>IF(OR(M421="W",M421="L"),(L421-N421)^2,"")</x:f>
        <x:v>0.03240000000000002</x:v>
      </x:c>
      <x:c r="P421" s="9" t="str">
        <x:v>NO</x:v>
      </x:c>
      <x:c r="Q421" s="9" t="str">
        <x:v>60-69</x:v>
      </x:c>
      <x:c r="R421" s="9" t="str">
        <x:v>YES</x:v>
      </x:c>
      <x:c r="S421" s="10" t="str">
        <x:v>ESPN event 760512; AP/Guardian</x:v>
      </x:c>
      <x:c r="T421" s="10" t="str">
        <x:f>IF(IFERROR(ISNUMBER(SEARCH("http",S421)),FALSE),"YES","NO")</x:f>
        <x:v>NO</x:v>
      </x:c>
      <x:c r="U421" s="10" t="str">
        <x:v>NO</x:v>
      </x:c>
      <x:c r="V421" s="10" t="str">
        <x:v>NO</x:v>
      </x:c>
      <x:c r="W421" s="10" t="str">
        <x:v>LEGACY_UNVERIFIED_SNAPSHOT: no immutable cutoff/model/source packet</x:v>
      </x:c>
      <x:c r="X421" s="10" t="str">
        <x:v>legacy schema only</x:v>
      </x:c>
    </x:row>
    <x:row r="422">
      <x:c r="A422" s="9" t="n">
        <x:v>418</x:v>
      </x:c>
      <x:c r="B422" s="9" t="str">
        <x:v>SOC-20260712-NOR-ENG</x:v>
      </x:c>
      <x:c r="C422" s="25" t="str">
        <x:v>2026-07-12</x:v>
      </x:c>
      <x:c r="D422" s="9" t="str">
        <x:v>Soccer</x:v>
      </x:c>
      <x:c r="E422" s="9" t="str">
        <x:v>Soccer</x:v>
      </x:c>
      <x:c r="F422" s="10" t="str">
        <x:v>Norway vs England</x:v>
      </x:c>
      <x:c r="G422" s="10" t="str">
        <x:v>FIFA World Cup 2026 quarter-final</x:v>
      </x:c>
      <x:c r="H422" s="10" t="str">
        <x:v>Regulation safety props</x:v>
      </x:c>
      <x:c r="I422" s="9" t="n">
        <x:v>3</x:v>
      </x:c>
      <x:c r="J422" s="10" t="str">
        <x:v>Match Over 1.5 regulation goals</x:v>
      </x:c>
      <x:c r="K422" s="9" t="str">
        <x:v>1.5</x:v>
      </x:c>
      <x:c r="L422" s="23" t="n">
        <x:v>0.78</x:v>
      </x:c>
      <x:c r="M422" s="9" t="str">
        <x:v>W</x:v>
      </x:c>
      <x:c r="N422" s="9" t="n">
        <x:f>IF(M422="W",1,IF(M422="L",0,""))</x:f>
        <x:v>1</x:v>
      </x:c>
      <x:c r="O422" s="24" t="n">
        <x:f>IF(OR(M422="W",M422="L"),(L422-N422)^2,"")</x:f>
        <x:v>0.04839999999999999</x:v>
      </x:c>
      <x:c r="P422" s="9" t="str">
        <x:v>NO</x:v>
      </x:c>
      <x:c r="Q422" s="9" t="str">
        <x:v>60-69</x:v>
      </x:c>
      <x:c r="R422" s="9" t="str">
        <x:v>YES</x:v>
      </x:c>
      <x:c r="S422" s="10" t="str">
        <x:v>ESPN event 760512; AP/Guardian</x:v>
      </x:c>
      <x:c r="T422" s="10" t="str">
        <x:f>IF(IFERROR(ISNUMBER(SEARCH("http",S422)),FALSE),"YES","NO")</x:f>
        <x:v>NO</x:v>
      </x:c>
      <x:c r="U422" s="10" t="str">
        <x:v>NO</x:v>
      </x:c>
      <x:c r="V422" s="10" t="str">
        <x:v>NO</x:v>
      </x:c>
      <x:c r="W422" s="10" t="str">
        <x:v>LEGACY_UNVERIFIED_SNAPSHOT: no immutable cutoff/model/source packet</x:v>
      </x:c>
      <x:c r="X422" s="10" t="str">
        <x:v>legacy schema only</x:v>
      </x:c>
    </x:row>
    <x:row r="423">
      <x:c r="A423" s="9" t="n">
        <x:v>419</x:v>
      </x:c>
      <x:c r="B423" s="9" t="str">
        <x:v>SOC-20260712-NOR-ENG</x:v>
      </x:c>
      <x:c r="C423" s="25" t="str">
        <x:v>2026-07-12</x:v>
      </x:c>
      <x:c r="D423" s="9" t="str">
        <x:v>Soccer</x:v>
      </x:c>
      <x:c r="E423" s="9" t="str">
        <x:v>Soccer</x:v>
      </x:c>
      <x:c r="F423" s="10" t="str">
        <x:v>Norway vs England</x:v>
      </x:c>
      <x:c r="G423" s="10" t="str">
        <x:v>FIFA World Cup 2026 quarter-final</x:v>
      </x:c>
      <x:c r="H423" s="10" t="str">
        <x:v>Regulation safety props</x:v>
      </x:c>
      <x:c r="I423" s="9" t="n">
        <x:v>4</x:v>
      </x:c>
      <x:c r="J423" s="10" t="str">
        <x:v>Match Over 7.5 regulation corners</x:v>
      </x:c>
      <x:c r="K423" s="9" t="str">
        <x:v>7.5</x:v>
      </x:c>
      <x:c r="L423" s="23" t="n">
        <x:v>0.75</x:v>
      </x:c>
      <x:c r="M423" s="9" t="str">
        <x:v>W</x:v>
      </x:c>
      <x:c r="N423" s="9" t="n">
        <x:f>IF(M423="W",1,IF(M423="L",0,""))</x:f>
        <x:v>1</x:v>
      </x:c>
      <x:c r="O423" s="24" t="n">
        <x:f>IF(OR(M423="W",M423="L"),(L423-N423)^2,"")</x:f>
        <x:v>0.0625</x:v>
      </x:c>
      <x:c r="P423" s="9" t="str">
        <x:v>NO</x:v>
      </x:c>
      <x:c r="Q423" s="9" t="str">
        <x:v>60-69</x:v>
      </x:c>
      <x:c r="R423" s="9" t="str">
        <x:v>YES</x:v>
      </x:c>
      <x:c r="S423" s="10" t="str">
        <x:v>ESPN event 760512; AP/Guardian</x:v>
      </x:c>
      <x:c r="T423" s="10" t="str">
        <x:f>IF(IFERROR(ISNUMBER(SEARCH("http",S423)),FALSE),"YES","NO")</x:f>
        <x:v>NO</x:v>
      </x:c>
      <x:c r="U423" s="10" t="str">
        <x:v>NO</x:v>
      </x:c>
      <x:c r="V423" s="10" t="str">
        <x:v>NO</x:v>
      </x:c>
      <x:c r="W423" s="10" t="str">
        <x:v>LEGACY_UNVERIFIED_SNAPSHOT: no immutable cutoff/model/source packet</x:v>
      </x:c>
      <x:c r="X423" s="10" t="str">
        <x:v>legacy schema only</x:v>
      </x:c>
    </x:row>
    <x:row r="424">
      <x:c r="A424" s="9" t="n">
        <x:v>420</x:v>
      </x:c>
      <x:c r="B424" s="9" t="str">
        <x:v>NBA-SL-20260712-IND-PHI</x:v>
      </x:c>
      <x:c r="C424" s="25" t="str">
        <x:v>2026-07-12</x:v>
      </x:c>
      <x:c r="D424" s="9" t="str">
        <x:v>Basketball</x:v>
      </x:c>
      <x:c r="E424" s="9" t="str">
        <x:v>Basketball</x:v>
      </x:c>
      <x:c r="F424" s="10" t="str">
        <x:v>Indiana Pacers vs Philadelphia 76ers</x:v>
      </x:c>
      <x:c r="G424" s="10" t="str">
        <x:v>NBA Las Vegas Summer League</x:v>
      </x:c>
      <x:c r="H424" s="10" t="str">
        <x:v>Phase/full totals and ML</x:v>
      </x:c>
      <x:c r="I424" s="9" t="n">
        <x:v>1</x:v>
      </x:c>
      <x:c r="J424" s="10" t="str">
        <x:v>Q1 Over 44.0</x:v>
      </x:c>
      <x:c r="K424" s="9" t="str">
        <x:v>44.0</x:v>
      </x:c>
      <x:c r="L424" s="23" t="n">
        <x:v>0.82</x:v>
      </x:c>
      <x:c r="M424" s="9" t="str">
        <x:v>W</x:v>
      </x:c>
      <x:c r="N424" s="9" t="n">
        <x:f>IF(M424="W",1,IF(M424="L",0,""))</x:f>
        <x:v>1</x:v>
      </x:c>
      <x:c r="O424" s="24" t="n">
        <x:f>IF(OR(M424="W",M424="L"),(L424-N424)^2,"")</x:f>
        <x:v>0.03240000000000002</x:v>
      </x:c>
      <x:c r="P424" s="9" t="str">
        <x:v>NO</x:v>
      </x:c>
      <x:c r="Q424" s="9" t="str">
        <x:v>60-69</x:v>
      </x:c>
      <x:c r="R424" s="9" t="str">
        <x:v>YES</x:v>
      </x:c>
      <x:c r="S424" s="10" t="str">
        <x:v>RealGM box score 524626; NBA result cross-check</x:v>
      </x:c>
      <x:c r="T424" s="10" t="str">
        <x:f>IF(IFERROR(ISNUMBER(SEARCH("http",S424)),FALSE),"YES","NO")</x:f>
        <x:v>NO</x:v>
      </x:c>
      <x:c r="U424" s="10" t="str">
        <x:v>NO</x:v>
      </x:c>
      <x:c r="V424" s="10" t="str">
        <x:v>NO</x:v>
      </x:c>
      <x:c r="W424" s="10" t="str">
        <x:v>LEGACY_UNVERIFIED_SNAPSHOT: no immutable cutoff/model/source packet</x:v>
      </x:c>
      <x:c r="X424" s="10" t="str">
        <x:v>legacy schema only</x:v>
      </x:c>
    </x:row>
    <x:row r="425">
      <x:c r="A425" s="9" t="n">
        <x:v>421</x:v>
      </x:c>
      <x:c r="B425" s="9" t="str">
        <x:v>NBA-SL-20260712-IND-PHI</x:v>
      </x:c>
      <x:c r="C425" s="25" t="str">
        <x:v>2026-07-12</x:v>
      </x:c>
      <x:c r="D425" s="9" t="str">
        <x:v>Basketball</x:v>
      </x:c>
      <x:c r="E425" s="9" t="str">
        <x:v>Basketball</x:v>
      </x:c>
      <x:c r="F425" s="10" t="str">
        <x:v>Indiana Pacers vs Philadelphia 76ers</x:v>
      </x:c>
      <x:c r="G425" s="10" t="str">
        <x:v>NBA Las Vegas Summer League</x:v>
      </x:c>
      <x:c r="H425" s="10" t="str">
        <x:v>Phase/full totals and ML</x:v>
      </x:c>
      <x:c r="I425" s="9" t="n">
        <x:v>2</x:v>
      </x:c>
      <x:c r="J425" s="10" t="str">
        <x:v>1H Over 90.5</x:v>
      </x:c>
      <x:c r="K425" s="9" t="str">
        <x:v>90.5</x:v>
      </x:c>
      <x:c r="L425" s="23" t="n">
        <x:v>0.64</x:v>
      </x:c>
      <x:c r="M425" s="9" t="str">
        <x:v>W</x:v>
      </x:c>
      <x:c r="N425" s="9" t="n">
        <x:f>IF(M425="W",1,IF(M425="L",0,""))</x:f>
        <x:v>1</x:v>
      </x:c>
      <x:c r="O425" s="24" t="n">
        <x:f>IF(OR(M425="W",M425="L"),(L425-N425)^2,"")</x:f>
        <x:v>0.1296</x:v>
      </x:c>
      <x:c r="P425" s="9" t="str">
        <x:v>NO</x:v>
      </x:c>
      <x:c r="Q425" s="9" t="str">
        <x:v>60-69</x:v>
      </x:c>
      <x:c r="R425" s="9" t="str">
        <x:v>NO</x:v>
      </x:c>
      <x:c r="S425" s="10" t="str">
        <x:v>RealGM box score 524626; NBA result cross-check</x:v>
      </x:c>
      <x:c r="T425" s="10" t="str">
        <x:f>IF(IFERROR(ISNUMBER(SEARCH("http",S425)),FALSE),"YES","NO")</x:f>
        <x:v>NO</x:v>
      </x:c>
      <x:c r="U425" s="10" t="str">
        <x:v>NO</x:v>
      </x:c>
      <x:c r="V425" s="10" t="str">
        <x:v>NO</x:v>
      </x:c>
      <x:c r="W425" s="10" t="str">
        <x:v>LEGACY_UNVERIFIED_SNAPSHOT: no immutable cutoff/model/source packet</x:v>
      </x:c>
      <x:c r="X425" s="10" t="str">
        <x:v>legacy schema only</x:v>
      </x:c>
    </x:row>
    <x:row r="426">
      <x:c r="A426" s="9" t="n">
        <x:v>422</x:v>
      </x:c>
      <x:c r="B426" s="9" t="str">
        <x:v>NBA-SL-20260712-IND-PHI</x:v>
      </x:c>
      <x:c r="C426" s="25" t="str">
        <x:v>2026-07-12</x:v>
      </x:c>
      <x:c r="D426" s="9" t="str">
        <x:v>Basketball</x:v>
      </x:c>
      <x:c r="E426" s="9" t="str">
        <x:v>Basketball</x:v>
      </x:c>
      <x:c r="F426" s="10" t="str">
        <x:v>Indiana Pacers vs Philadelphia 76ers</x:v>
      </x:c>
      <x:c r="G426" s="10" t="str">
        <x:v>NBA Las Vegas Summer League</x:v>
      </x:c>
      <x:c r="H426" s="10" t="str">
        <x:v>Phase/full totals and ML</x:v>
      </x:c>
      <x:c r="I426" s="9" t="n">
        <x:v>3</x:v>
      </x:c>
      <x:c r="J426" s="10" t="str">
        <x:v>Full Over 184.5</x:v>
      </x:c>
      <x:c r="K426" s="9" t="str">
        <x:v>184.5</x:v>
      </x:c>
      <x:c r="L426" s="23" t="n">
        <x:v>0.6</x:v>
      </x:c>
      <x:c r="M426" s="9" t="str">
        <x:v>W</x:v>
      </x:c>
      <x:c r="N426" s="9" t="n">
        <x:f>IF(M426="W",1,IF(M426="L",0,""))</x:f>
        <x:v>1</x:v>
      </x:c>
      <x:c r="O426" s="24" t="n">
        <x:f>IF(OR(M426="W",M426="L"),(L426-N426)^2,"")</x:f>
        <x:v>0.16000000000000003</x:v>
      </x:c>
      <x:c r="P426" s="9" t="str">
        <x:v>NO</x:v>
      </x:c>
      <x:c r="Q426" s="9" t="str">
        <x:v>60-69</x:v>
      </x:c>
      <x:c r="R426" s="9" t="str">
        <x:v>NO</x:v>
      </x:c>
      <x:c r="S426" s="10" t="str">
        <x:v>RealGM box score 524626; NBA result cross-check</x:v>
      </x:c>
      <x:c r="T426" s="10" t="str">
        <x:f>IF(IFERROR(ISNUMBER(SEARCH("http",S426)),FALSE),"YES","NO")</x:f>
        <x:v>NO</x:v>
      </x:c>
      <x:c r="U426" s="10" t="str">
        <x:v>NO</x:v>
      </x:c>
      <x:c r="V426" s="10" t="str">
        <x:v>NO</x:v>
      </x:c>
      <x:c r="W426" s="10" t="str">
        <x:v>LEGACY_UNVERIFIED_SNAPSHOT: no immutable cutoff/model/source packet</x:v>
      </x:c>
      <x:c r="X426" s="10" t="str">
        <x:v>legacy schema only</x:v>
      </x:c>
    </x:row>
    <x:row r="427">
      <x:c r="A427" s="9" t="n">
        <x:v>423</x:v>
      </x:c>
      <x:c r="B427" s="9" t="str">
        <x:v>NBA-SL-20260712-IND-PHI</x:v>
      </x:c>
      <x:c r="C427" s="25" t="str">
        <x:v>2026-07-12</x:v>
      </x:c>
      <x:c r="D427" s="9" t="str">
        <x:v>Basketball</x:v>
      </x:c>
      <x:c r="E427" s="9" t="str">
        <x:v>Basketball</x:v>
      </x:c>
      <x:c r="F427" s="10" t="str">
        <x:v>Indiana Pacers vs Philadelphia 76ers</x:v>
      </x:c>
      <x:c r="G427" s="10" t="str">
        <x:v>NBA Las Vegas Summer League</x:v>
      </x:c>
      <x:c r="H427" s="10" t="str">
        <x:v>Phase/full totals and ML</x:v>
      </x:c>
      <x:c r="I427" s="9" t="n">
        <x:v>4</x:v>
      </x:c>
      <x:c r="J427" s="10" t="str">
        <x:v>Philadelphia moneyline</x:v>
      </x:c>
      <x:c r="K427" s="9" t="str">
        <x:v>ML</x:v>
      </x:c>
      <x:c r="L427" s="23" t="n">
        <x:v>0.56</x:v>
      </x:c>
      <x:c r="M427" s="9" t="str">
        <x:v>W</x:v>
      </x:c>
      <x:c r="N427" s="9" t="n">
        <x:f>IF(M427="W",1,IF(M427="L",0,""))</x:f>
        <x:v>1</x:v>
      </x:c>
      <x:c r="O427" s="24" t="n">
        <x:f>IF(OR(M427="W",M427="L"),(L427-N427)^2,"")</x:f>
        <x:v>0.19359999999999997</x:v>
      </x:c>
      <x:c r="P427" s="9" t="str">
        <x:v>NO</x:v>
      </x:c>
      <x:c r="Q427" s="9" t="str">
        <x:v>50-59</x:v>
      </x:c>
      <x:c r="R427" s="9" t="str">
        <x:v>NO</x:v>
      </x:c>
      <x:c r="S427" s="10" t="str">
        <x:v>RealGM box score 524626; NBA result cross-check</x:v>
      </x:c>
      <x:c r="T427" s="10" t="str">
        <x:f>IF(IFERROR(ISNUMBER(SEARCH("http",S427)),FALSE),"YES","NO")</x:f>
        <x:v>NO</x:v>
      </x:c>
      <x:c r="U427" s="10" t="str">
        <x:v>NO</x:v>
      </x:c>
      <x:c r="V427" s="10" t="str">
        <x:v>NO</x:v>
      </x:c>
      <x:c r="W427" s="10" t="str">
        <x:v>LEGACY_UNVERIFIED_SNAPSHOT: no immutable cutoff/model/source packet</x:v>
      </x:c>
      <x:c r="X427" s="10" t="str">
        <x:v>legacy schema only</x:v>
      </x:c>
    </x:row>
    <x:row r="428">
      <x:c r="A428" s="9" t="n">
        <x:v>424</x:v>
      </x:c>
      <x:c r="B428" s="9" t="str">
        <x:v>NBA-SL-20260712-NYK-SAS</x:v>
      </x:c>
      <x:c r="C428" s="25" t="str">
        <x:v>2026-07-12</x:v>
      </x:c>
      <x:c r="D428" s="9" t="str">
        <x:v>Basketball</x:v>
      </x:c>
      <x:c r="E428" s="9" t="str">
        <x:v>Basketball</x:v>
      </x:c>
      <x:c r="F428" s="10" t="str">
        <x:v>New York Knicks vs San Antonio Spurs</x:v>
      </x:c>
      <x:c r="G428" s="10" t="str">
        <x:v>NBA Las Vegas Summer League</x:v>
      </x:c>
      <x:c r="H428" s="10" t="str">
        <x:v>Phase/full unders and ML</x:v>
      </x:c>
      <x:c r="I428" s="9" t="n">
        <x:v>1</x:v>
      </x:c>
      <x:c r="J428" s="10" t="str">
        <x:v>1H Under 84.5</x:v>
      </x:c>
      <x:c r="K428" s="9" t="str">
        <x:v>84.5</x:v>
      </x:c>
      <x:c r="L428" s="23" t="n">
        <x:v>0.74</x:v>
      </x:c>
      <x:c r="M428" s="9" t="str">
        <x:v>W</x:v>
      </x:c>
      <x:c r="N428" s="9" t="n">
        <x:f>IF(M428="W",1,IF(M428="L",0,""))</x:f>
        <x:v>1</x:v>
      </x:c>
      <x:c r="O428" s="24" t="n">
        <x:f>IF(OR(M428="W",M428="L"),(L428-N428)^2,"")</x:f>
        <x:v>0.06760000000000001</x:v>
      </x:c>
      <x:c r="P428" s="9" t="str">
        <x:v>NO</x:v>
      </x:c>
      <x:c r="Q428" s="9" t="str">
        <x:v>60-69</x:v>
      </x:c>
      <x:c r="R428" s="9" t="str">
        <x:v>YES</x:v>
      </x:c>
      <x:c r="S428" s="10" t="str">
        <x:v>RealGM box score 524627</x:v>
      </x:c>
      <x:c r="T428" s="10" t="str">
        <x:f>IF(IFERROR(ISNUMBER(SEARCH("http",S428)),FALSE),"YES","NO")</x:f>
        <x:v>NO</x:v>
      </x:c>
      <x:c r="U428" s="10" t="str">
        <x:v>NO</x:v>
      </x:c>
      <x:c r="V428" s="10" t="str">
        <x:v>NO</x:v>
      </x:c>
      <x:c r="W428" s="10" t="str">
        <x:v>LEGACY_UNVERIFIED_SNAPSHOT: no immutable cutoff/model/source packet</x:v>
      </x:c>
      <x:c r="X428" s="10" t="str">
        <x:v>legacy schema only</x:v>
      </x:c>
    </x:row>
    <x:row r="429">
      <x:c r="A429" s="9" t="n">
        <x:v>425</x:v>
      </x:c>
      <x:c r="B429" s="9" t="str">
        <x:v>NBA-SL-20260712-NYK-SAS</x:v>
      </x:c>
      <x:c r="C429" s="25" t="str">
        <x:v>2026-07-12</x:v>
      </x:c>
      <x:c r="D429" s="9" t="str">
        <x:v>Basketball</x:v>
      </x:c>
      <x:c r="E429" s="9" t="str">
        <x:v>Basketball</x:v>
      </x:c>
      <x:c r="F429" s="10" t="str">
        <x:v>New York Knicks vs San Antonio Spurs</x:v>
      </x:c>
      <x:c r="G429" s="10" t="str">
        <x:v>NBA Las Vegas Summer League</x:v>
      </x:c>
      <x:c r="H429" s="10" t="str">
        <x:v>Phase/full unders and ML</x:v>
      </x:c>
      <x:c r="I429" s="9" t="n">
        <x:v>2</x:v>
      </x:c>
      <x:c r="J429" s="10" t="str">
        <x:v>Full Under 172.5</x:v>
      </x:c>
      <x:c r="K429" s="9" t="str">
        <x:v>172.5</x:v>
      </x:c>
      <x:c r="L429" s="23" t="n">
        <x:v>0.68</x:v>
      </x:c>
      <x:c r="M429" s="9" t="str">
        <x:v>W</x:v>
      </x:c>
      <x:c r="N429" s="9" t="n">
        <x:f>IF(M429="W",1,IF(M429="L",0,""))</x:f>
        <x:v>1</x:v>
      </x:c>
      <x:c r="O429" s="24" t="n">
        <x:f>IF(OR(M429="W",M429="L"),(L429-N429)^2,"")</x:f>
        <x:v>0.10239999999999996</x:v>
      </x:c>
      <x:c r="P429" s="9" t="str">
        <x:v>NO</x:v>
      </x:c>
      <x:c r="Q429" s="9" t="str">
        <x:v>60-69</x:v>
      </x:c>
      <x:c r="R429" s="9" t="str">
        <x:v>NO</x:v>
      </x:c>
      <x:c r="S429" s="10" t="str">
        <x:v>RealGM box score 524627</x:v>
      </x:c>
      <x:c r="T429" s="10" t="str">
        <x:f>IF(IFERROR(ISNUMBER(SEARCH("http",S429)),FALSE),"YES","NO")</x:f>
        <x:v>NO</x:v>
      </x:c>
      <x:c r="U429" s="10" t="str">
        <x:v>NO</x:v>
      </x:c>
      <x:c r="V429" s="10" t="str">
        <x:v>NO</x:v>
      </x:c>
      <x:c r="W429" s="10" t="str">
        <x:v>LEGACY_UNVERIFIED_SNAPSHOT: no immutable cutoff/model/source packet</x:v>
      </x:c>
      <x:c r="X429" s="10" t="str">
        <x:v>legacy schema only</x:v>
      </x:c>
    </x:row>
    <x:row r="430">
      <x:c r="A430" s="9" t="n">
        <x:v>426</x:v>
      </x:c>
      <x:c r="B430" s="9" t="str">
        <x:v>NBA-SL-20260712-NYK-SAS</x:v>
      </x:c>
      <x:c r="C430" s="25" t="str">
        <x:v>2026-07-12</x:v>
      </x:c>
      <x:c r="D430" s="9" t="str">
        <x:v>Basketball</x:v>
      </x:c>
      <x:c r="E430" s="9" t="str">
        <x:v>Basketball</x:v>
      </x:c>
      <x:c r="F430" s="10" t="str">
        <x:v>New York Knicks vs San Antonio Spurs</x:v>
      </x:c>
      <x:c r="G430" s="10" t="str">
        <x:v>NBA Las Vegas Summer League</x:v>
      </x:c>
      <x:c r="H430" s="10" t="str">
        <x:v>Phase/full unders and ML</x:v>
      </x:c>
      <x:c r="I430" s="9" t="n">
        <x:v>3</x:v>
      </x:c>
      <x:c r="J430" s="10" t="str">
        <x:v>San Antonio moneyline</x:v>
      </x:c>
      <x:c r="K430" s="9" t="str">
        <x:v>ML</x:v>
      </x:c>
      <x:c r="L430" s="23" t="n">
        <x:v>0.65</x:v>
      </x:c>
      <x:c r="M430" s="9" t="str">
        <x:v>W</x:v>
      </x:c>
      <x:c r="N430" s="9" t="n">
        <x:f>IF(M430="W",1,IF(M430="L",0,""))</x:f>
        <x:v>1</x:v>
      </x:c>
      <x:c r="O430" s="24" t="n">
        <x:f>IF(OR(M430="W",M430="L"),(L430-N430)^2,"")</x:f>
        <x:v>0.12249999999999998</x:v>
      </x:c>
      <x:c r="P430" s="9" t="str">
        <x:v>NO</x:v>
      </x:c>
      <x:c r="Q430" s="9" t="str">
        <x:v>60-69</x:v>
      </x:c>
      <x:c r="R430" s="9" t="str">
        <x:v>NO</x:v>
      </x:c>
      <x:c r="S430" s="10" t="str">
        <x:v>RealGM box score 524627</x:v>
      </x:c>
      <x:c r="T430" s="10" t="str">
        <x:f>IF(IFERROR(ISNUMBER(SEARCH("http",S430)),FALSE),"YES","NO")</x:f>
        <x:v>NO</x:v>
      </x:c>
      <x:c r="U430" s="10" t="str">
        <x:v>NO</x:v>
      </x:c>
      <x:c r="V430" s="10" t="str">
        <x:v>NO</x:v>
      </x:c>
      <x:c r="W430" s="10" t="str">
        <x:v>LEGACY_UNVERIFIED_SNAPSHOT: no immutable cutoff/model/source packet</x:v>
      </x:c>
      <x:c r="X430" s="10" t="str">
        <x:v>legacy schema only</x:v>
      </x:c>
    </x:row>
    <x:row r="431">
      <x:c r="A431" s="9" t="n">
        <x:v>427</x:v>
      </x:c>
      <x:c r="B431" s="9" t="str">
        <x:v>NBA-SL-20260712-NYK-SAS</x:v>
      </x:c>
      <x:c r="C431" s="25" t="str">
        <x:v>2026-07-12</x:v>
      </x:c>
      <x:c r="D431" s="9" t="str">
        <x:v>Basketball</x:v>
      </x:c>
      <x:c r="E431" s="9" t="str">
        <x:v>Basketball</x:v>
      </x:c>
      <x:c r="F431" s="10" t="str">
        <x:v>New York Knicks vs San Antonio Spurs</x:v>
      </x:c>
      <x:c r="G431" s="10" t="str">
        <x:v>NBA Las Vegas Summer League</x:v>
      </x:c>
      <x:c r="H431" s="10" t="str">
        <x:v>Phase/full unders and ML</x:v>
      </x:c>
      <x:c r="I431" s="9" t="n">
        <x:v>4</x:v>
      </x:c>
      <x:c r="J431" s="10" t="str">
        <x:v>Q1 Under 41.0</x:v>
      </x:c>
      <x:c r="K431" s="9" t="str">
        <x:v>41.0</x:v>
      </x:c>
      <x:c r="L431" s="23" t="n">
        <x:v>0.57</x:v>
      </x:c>
      <x:c r="M431" s="9" t="str">
        <x:v>W</x:v>
      </x:c>
      <x:c r="N431" s="9" t="n">
        <x:f>IF(M431="W",1,IF(M431="L",0,""))</x:f>
        <x:v>1</x:v>
      </x:c>
      <x:c r="O431" s="24" t="n">
        <x:f>IF(OR(M431="W",M431="L"),(L431-N431)^2,"")</x:f>
        <x:v>0.18490000000000004</x:v>
      </x:c>
      <x:c r="P431" s="9" t="str">
        <x:v>NO</x:v>
      </x:c>
      <x:c r="Q431" s="9" t="str">
        <x:v>50-59</x:v>
      </x:c>
      <x:c r="R431" s="9" t="str">
        <x:v>NO</x:v>
      </x:c>
      <x:c r="S431" s="10" t="str">
        <x:v>RealGM box score 524627</x:v>
      </x:c>
      <x:c r="T431" s="10" t="str">
        <x:f>IF(IFERROR(ISNUMBER(SEARCH("http",S431)),FALSE),"YES","NO")</x:f>
        <x:v>NO</x:v>
      </x:c>
      <x:c r="U431" s="10" t="str">
        <x:v>NO</x:v>
      </x:c>
      <x:c r="V431" s="10" t="str">
        <x:v>NO</x:v>
      </x:c>
      <x:c r="W431" s="10" t="str">
        <x:v>LEGACY_UNVERIFIED_SNAPSHOT: no immutable cutoff/model/source packet</x:v>
      </x:c>
      <x:c r="X431" s="10" t="str">
        <x:v>legacy schema only</x:v>
      </x:c>
    </x:row>
    <x:row r="432">
      <x:c r="A432" s="9" t="n">
        <x:v>428</x:v>
      </x:c>
      <x:c r="B432" s="9" t="str">
        <x:v>NBA-SL-20260712-DEN-MIN</x:v>
      </x:c>
      <x:c r="C432" s="25" t="str">
        <x:v>2026-07-12</x:v>
      </x:c>
      <x:c r="D432" s="9" t="str">
        <x:v>Basketball</x:v>
      </x:c>
      <x:c r="E432" s="9" t="str">
        <x:v>Basketball</x:v>
      </x:c>
      <x:c r="F432" s="10" t="str">
        <x:v>Denver Nuggets vs Minnesota Timberwolves</x:v>
      </x:c>
      <x:c r="G432" s="10" t="str">
        <x:v>NBA Las Vegas Summer League</x:v>
      </x:c>
      <x:c r="H432" s="10" t="str">
        <x:v>Minnesota side and totals</x:v>
      </x:c>
      <x:c r="I432" s="9" t="n">
        <x:v>1</x:v>
      </x:c>
      <x:c r="J432" s="10" t="str">
        <x:v>Minnesota moneyline</x:v>
      </x:c>
      <x:c r="K432" s="9" t="str">
        <x:v>ML</x:v>
      </x:c>
      <x:c r="L432" s="23" t="n">
        <x:v>0.68</x:v>
      </x:c>
      <x:c r="M432" s="9" t="str">
        <x:v>L</x:v>
      </x:c>
      <x:c r="N432" s="9" t="n">
        <x:f>IF(M432="W",1,IF(M432="L",0,""))</x:f>
        <x:v>0</x:v>
      </x:c>
      <x:c r="O432" s="24" t="n">
        <x:f>IF(OR(M432="W",M432="L"),(L432-N432)^2,"")</x:f>
        <x:v>0.4624000000000001</x:v>
      </x:c>
      <x:c r="P432" s="9" t="str">
        <x:v>NO</x:v>
      </x:c>
      <x:c r="Q432" s="9" t="str">
        <x:v>60-69</x:v>
      </x:c>
      <x:c r="R432" s="9" t="str">
        <x:v>NO</x:v>
      </x:c>
      <x:c r="S432" s="10" t="str">
        <x:v>RealGM box score 524628</x:v>
      </x:c>
      <x:c r="T432" s="10" t="str">
        <x:f>IF(IFERROR(ISNUMBER(SEARCH("http",S432)),FALSE),"YES","NO")</x:f>
        <x:v>NO</x:v>
      </x:c>
      <x:c r="U432" s="10" t="str">
        <x:v>NO</x:v>
      </x:c>
      <x:c r="V432" s="10" t="str">
        <x:v>NO</x:v>
      </x:c>
      <x:c r="W432" s="10" t="str">
        <x:v>LEGACY_UNVERIFIED_SNAPSHOT: no immutable cutoff/model/source packet</x:v>
      </x:c>
      <x:c r="X432" s="10" t="str">
        <x:v>projection_error; rank_error</x:v>
      </x:c>
    </x:row>
    <x:row r="433">
      <x:c r="A433" s="9" t="n">
        <x:v>429</x:v>
      </x:c>
      <x:c r="B433" s="9" t="str">
        <x:v>NBA-SL-20260712-DEN-MIN</x:v>
      </x:c>
      <x:c r="C433" s="25" t="str">
        <x:v>2026-07-12</x:v>
      </x:c>
      <x:c r="D433" s="9" t="str">
        <x:v>Basketball</x:v>
      </x:c>
      <x:c r="E433" s="9" t="str">
        <x:v>Basketball</x:v>
      </x:c>
      <x:c r="F433" s="10" t="str">
        <x:v>Denver Nuggets vs Minnesota Timberwolves</x:v>
      </x:c>
      <x:c r="G433" s="10" t="str">
        <x:v>NBA Las Vegas Summer League</x:v>
      </x:c>
      <x:c r="H433" s="10" t="str">
        <x:v>Minnesota side and totals</x:v>
      </x:c>
      <x:c r="I433" s="9" t="n">
        <x:v>2</x:v>
      </x:c>
      <x:c r="J433" s="10" t="str">
        <x:v>Minnesota -5.5</x:v>
      </x:c>
      <x:c r="K433" s="9" t="str">
        <x:v>prop</x:v>
      </x:c>
      <x:c r="L433" s="23" t="n">
        <x:v>0.58</x:v>
      </x:c>
      <x:c r="M433" s="9" t="str">
        <x:v>L</x:v>
      </x:c>
      <x:c r="N433" s="9" t="n">
        <x:f>IF(M433="W",1,IF(M433="L",0,""))</x:f>
        <x:v>0</x:v>
      </x:c>
      <x:c r="O433" s="24" t="n">
        <x:f>IF(OR(M433="W",M433="L"),(L433-N433)^2,"")</x:f>
        <x:v>0.3364</x:v>
      </x:c>
      <x:c r="P433" s="9" t="str">
        <x:v>NO</x:v>
      </x:c>
      <x:c r="Q433" s="9" t="str">
        <x:v>50-59</x:v>
      </x:c>
      <x:c r="R433" s="9" t="str">
        <x:v>NO</x:v>
      </x:c>
      <x:c r="S433" s="10" t="str">
        <x:v>RealGM box score 524628</x:v>
      </x:c>
      <x:c r="T433" s="10" t="str">
        <x:f>IF(IFERROR(ISNUMBER(SEARCH("http",S433)),FALSE),"YES","NO")</x:f>
        <x:v>NO</x:v>
      </x:c>
      <x:c r="U433" s="10" t="str">
        <x:v>NO</x:v>
      </x:c>
      <x:c r="V433" s="10" t="str">
        <x:v>NO</x:v>
      </x:c>
      <x:c r="W433" s="10" t="str">
        <x:v>LEGACY_UNVERIFIED_SNAPSHOT: no immutable cutoff/model/source packet</x:v>
      </x:c>
      <x:c r="X433" s="10" t="str">
        <x:v>projection_error; rank_error</x:v>
      </x:c>
    </x:row>
    <x:row r="434">
      <x:c r="A434" s="9" t="n">
        <x:v>430</x:v>
      </x:c>
      <x:c r="B434" s="9" t="str">
        <x:v>NBA-SL-20260712-DEN-MIN</x:v>
      </x:c>
      <x:c r="C434" s="25" t="str">
        <x:v>2026-07-12</x:v>
      </x:c>
      <x:c r="D434" s="9" t="str">
        <x:v>Basketball</x:v>
      </x:c>
      <x:c r="E434" s="9" t="str">
        <x:v>Basketball</x:v>
      </x:c>
      <x:c r="F434" s="10" t="str">
        <x:v>Denver Nuggets vs Minnesota Timberwolves</x:v>
      </x:c>
      <x:c r="G434" s="10" t="str">
        <x:v>NBA Las Vegas Summer League</x:v>
      </x:c>
      <x:c r="H434" s="10" t="str">
        <x:v>Minnesota side and totals</x:v>
      </x:c>
      <x:c r="I434" s="9" t="n">
        <x:v>3</x:v>
      </x:c>
      <x:c r="J434" s="10" t="str">
        <x:v>1H Under 90.5</x:v>
      </x:c>
      <x:c r="K434" s="9" t="str">
        <x:v>90.5</x:v>
      </x:c>
      <x:c r="L434" s="23" t="n">
        <x:v>0.57</x:v>
      </x:c>
      <x:c r="M434" s="9" t="str">
        <x:v>L</x:v>
      </x:c>
      <x:c r="N434" s="9" t="n">
        <x:f>IF(M434="W",1,IF(M434="L",0,""))</x:f>
        <x:v>0</x:v>
      </x:c>
      <x:c r="O434" s="24" t="n">
        <x:f>IF(OR(M434="W",M434="L"),(L434-N434)^2,"")</x:f>
        <x:v>0.32489999999999997</x:v>
      </x:c>
      <x:c r="P434" s="9" t="str">
        <x:v>NO</x:v>
      </x:c>
      <x:c r="Q434" s="9" t="str">
        <x:v>50-59</x:v>
      </x:c>
      <x:c r="R434" s="9" t="str">
        <x:v>NO</x:v>
      </x:c>
      <x:c r="S434" s="10" t="str">
        <x:v>RealGM box score 524628</x:v>
      </x:c>
      <x:c r="T434" s="10" t="str">
        <x:f>IF(IFERROR(ISNUMBER(SEARCH("http",S434)),FALSE),"YES","NO")</x:f>
        <x:v>NO</x:v>
      </x:c>
      <x:c r="U434" s="10" t="str">
        <x:v>NO</x:v>
      </x:c>
      <x:c r="V434" s="10" t="str">
        <x:v>NO</x:v>
      </x:c>
      <x:c r="W434" s="10" t="str">
        <x:v>LEGACY_UNVERIFIED_SNAPSHOT: no immutable cutoff/model/source packet</x:v>
      </x:c>
      <x:c r="X434" s="10" t="str">
        <x:v>legacy schema only</x:v>
      </x:c>
    </x:row>
    <x:row r="435">
      <x:c r="A435" s="9" t="n">
        <x:v>431</x:v>
      </x:c>
      <x:c r="B435" s="9" t="str">
        <x:v>NBA-SL-20260712-DEN-MIN</x:v>
      </x:c>
      <x:c r="C435" s="25" t="str">
        <x:v>2026-07-12</x:v>
      </x:c>
      <x:c r="D435" s="9" t="str">
        <x:v>Basketball</x:v>
      </x:c>
      <x:c r="E435" s="9" t="str">
        <x:v>Basketball</x:v>
      </x:c>
      <x:c r="F435" s="10" t="str">
        <x:v>Denver Nuggets vs Minnesota Timberwolves</x:v>
      </x:c>
      <x:c r="G435" s="10" t="str">
        <x:v>NBA Las Vegas Summer League</x:v>
      </x:c>
      <x:c r="H435" s="10" t="str">
        <x:v>Minnesota side and totals</x:v>
      </x:c>
      <x:c r="I435" s="9" t="n">
        <x:v>4</x:v>
      </x:c>
      <x:c r="J435" s="10" t="str">
        <x:v>Full Under 185.5</x:v>
      </x:c>
      <x:c r="K435" s="9" t="str">
        <x:v>185.5</x:v>
      </x:c>
      <x:c r="L435" s="23" t="n">
        <x:v>0.55</x:v>
      </x:c>
      <x:c r="M435" s="9" t="str">
        <x:v>W</x:v>
      </x:c>
      <x:c r="N435" s="9" t="n">
        <x:f>IF(M435="W",1,IF(M435="L",0,""))</x:f>
        <x:v>1</x:v>
      </x:c>
      <x:c r="O435" s="24" t="n">
        <x:f>IF(OR(M435="W",M435="L"),(L435-N435)^2,"")</x:f>
        <x:v>0.20249999999999996</x:v>
      </x:c>
      <x:c r="P435" s="9" t="str">
        <x:v>NO</x:v>
      </x:c>
      <x:c r="Q435" s="9" t="str">
        <x:v>50-59</x:v>
      </x:c>
      <x:c r="R435" s="9" t="str">
        <x:v>NO</x:v>
      </x:c>
      <x:c r="S435" s="10" t="str">
        <x:v>RealGM box score 524628</x:v>
      </x:c>
      <x:c r="T435" s="10" t="str">
        <x:f>IF(IFERROR(ISNUMBER(SEARCH("http",S435)),FALSE),"YES","NO")</x:f>
        <x:v>NO</x:v>
      </x:c>
      <x:c r="U435" s="10" t="str">
        <x:v>NO</x:v>
      </x:c>
      <x:c r="V435" s="10" t="str">
        <x:v>NO</x:v>
      </x:c>
      <x:c r="W435" s="10" t="str">
        <x:v>LEGACY_UNVERIFIED_SNAPSHOT: no immutable cutoff/model/source packet</x:v>
      </x:c>
      <x:c r="X435" s="10" t="str">
        <x:v>rank_error</x:v>
      </x:c>
    </x:row>
    <x:row r="436">
      <x:c r="A436" s="9" t="n">
        <x:v>432</x:v>
      </x:c>
      <x:c r="B436" s="9" t="str">
        <x:v>SOC-20260712-ARG-SUI</x:v>
      </x:c>
      <x:c r="C436" s="25" t="str">
        <x:v>2026-07-12</x:v>
      </x:c>
      <x:c r="D436" s="9" t="str">
        <x:v>Soccer</x:v>
      </x:c>
      <x:c r="E436" s="9" t="str">
        <x:v>Soccer</x:v>
      </x:c>
      <x:c r="F436" s="10" t="str">
        <x:v>Argentina vs Switzerland</x:v>
      </x:c>
      <x:c r="G436" s="10" t="str">
        <x:v>FIFA World Cup 2026 quarter-final</x:v>
      </x:c>
      <x:c r="H436" s="10" t="str">
        <x:v>Regulation safety props</x:v>
      </x:c>
      <x:c r="I436" s="9" t="n">
        <x:v>1</x:v>
      </x:c>
      <x:c r="J436" s="10" t="str">
        <x:v>Switzerland TT Under 2.5 regulation</x:v>
      </x:c>
      <x:c r="K436" s="9" t="str">
        <x:v>2.5</x:v>
      </x:c>
      <x:c r="L436" s="23" t="n">
        <x:v>0.9</x:v>
      </x:c>
      <x:c r="M436" s="9" t="str">
        <x:v>W</x:v>
      </x:c>
      <x:c r="N436" s="9" t="n">
        <x:f>IF(M436="W",1,IF(M436="L",0,""))</x:f>
        <x:v>1</x:v>
      </x:c>
      <x:c r="O436" s="24" t="n">
        <x:f>IF(OR(M436="W",M436="L"),(L436-N436)^2,"")</x:f>
        <x:v>0.009999999999999995</x:v>
      </x:c>
      <x:c r="P436" s="9" t="str">
        <x:v>NO</x:v>
      </x:c>
      <x:c r="Q436" s="9" t="str">
        <x:v>60-69</x:v>
      </x:c>
      <x:c r="R436" s="9" t="str">
        <x:v>YES</x:v>
      </x:c>
      <x:c r="S436" s="10" t="str">
        <x:v>ESPN event 760513; AP/AFC</x:v>
      </x:c>
      <x:c r="T436" s="10" t="str">
        <x:f>IF(IFERROR(ISNUMBER(SEARCH("http",S436)),FALSE),"YES","NO")</x:f>
        <x:v>NO</x:v>
      </x:c>
      <x:c r="U436" s="10" t="str">
        <x:v>NO</x:v>
      </x:c>
      <x:c r="V436" s="10" t="str">
        <x:v>NO</x:v>
      </x:c>
      <x:c r="W436" s="10" t="str">
        <x:v>LEGACY_UNVERIFIED_SNAPSHOT: no immutable cutoff/model/source packet</x:v>
      </x:c>
      <x:c r="X436" s="10" t="str">
        <x:v>legacy schema only</x:v>
      </x:c>
    </x:row>
    <x:row r="437">
      <x:c r="A437" s="9" t="n">
        <x:v>433</x:v>
      </x:c>
      <x:c r="B437" s="9" t="str">
        <x:v>SOC-20260712-ARG-SUI</x:v>
      </x:c>
      <x:c r="C437" s="25" t="str">
        <x:v>2026-07-12</x:v>
      </x:c>
      <x:c r="D437" s="9" t="str">
        <x:v>Soccer</x:v>
      </x:c>
      <x:c r="E437" s="9" t="str">
        <x:v>Soccer</x:v>
      </x:c>
      <x:c r="F437" s="10" t="str">
        <x:v>Argentina vs Switzerland</x:v>
      </x:c>
      <x:c r="G437" s="10" t="str">
        <x:v>FIFA World Cup 2026 quarter-final</x:v>
      </x:c>
      <x:c r="H437" s="10" t="str">
        <x:v>Regulation safety props</x:v>
      </x:c>
      <x:c r="I437" s="9" t="n">
        <x:v>2</x:v>
      </x:c>
      <x:c r="J437" s="10" t="str">
        <x:v>Argentina or draw regulation</x:v>
      </x:c>
      <x:c r="K437" s="9" t="str">
        <x:v>prop</x:v>
      </x:c>
      <x:c r="L437" s="23" t="n">
        <x:v>0.82</x:v>
      </x:c>
      <x:c r="M437" s="9" t="str">
        <x:v>W</x:v>
      </x:c>
      <x:c r="N437" s="9" t="n">
        <x:f>IF(M437="W",1,IF(M437="L",0,""))</x:f>
        <x:v>1</x:v>
      </x:c>
      <x:c r="O437" s="24" t="n">
        <x:f>IF(OR(M437="W",M437="L"),(L437-N437)^2,"")</x:f>
        <x:v>0.03240000000000002</x:v>
      </x:c>
      <x:c r="P437" s="9" t="str">
        <x:v>NO</x:v>
      </x:c>
      <x:c r="Q437" s="9" t="str">
        <x:v>60-69</x:v>
      </x:c>
      <x:c r="R437" s="9" t="str">
        <x:v>YES</x:v>
      </x:c>
      <x:c r="S437" s="10" t="str">
        <x:v>ESPN event 760513; AP/AFC</x:v>
      </x:c>
      <x:c r="T437" s="10" t="str">
        <x:f>IF(IFERROR(ISNUMBER(SEARCH("http",S437)),FALSE),"YES","NO")</x:f>
        <x:v>NO</x:v>
      </x:c>
      <x:c r="U437" s="10" t="str">
        <x:v>NO</x:v>
      </x:c>
      <x:c r="V437" s="10" t="str">
        <x:v>NO</x:v>
      </x:c>
      <x:c r="W437" s="10" t="str">
        <x:v>LEGACY_UNVERIFIED_SNAPSHOT: no immutable cutoff/model/source packet</x:v>
      </x:c>
      <x:c r="X437" s="10" t="str">
        <x:v>legacy schema only</x:v>
      </x:c>
    </x:row>
    <x:row r="438">
      <x:c r="A438" s="9" t="n">
        <x:v>434</x:v>
      </x:c>
      <x:c r="B438" s="9" t="str">
        <x:v>SOC-20260712-ARG-SUI</x:v>
      </x:c>
      <x:c r="C438" s="25" t="str">
        <x:v>2026-07-12</x:v>
      </x:c>
      <x:c r="D438" s="9" t="str">
        <x:v>Soccer</x:v>
      </x:c>
      <x:c r="E438" s="9" t="str">
        <x:v>Soccer</x:v>
      </x:c>
      <x:c r="F438" s="10" t="str">
        <x:v>Argentina vs Switzerland</x:v>
      </x:c>
      <x:c r="G438" s="10" t="str">
        <x:v>FIFA World Cup 2026 quarter-final</x:v>
      </x:c>
      <x:c r="H438" s="10" t="str">
        <x:v>Regulation safety props</x:v>
      </x:c>
      <x:c r="I438" s="9" t="n">
        <x:v>3</x:v>
      </x:c>
      <x:c r="J438" s="10" t="str">
        <x:v>Argentina TT Over 0.5 regulation</x:v>
      </x:c>
      <x:c r="K438" s="9" t="str">
        <x:v>0.5</x:v>
      </x:c>
      <x:c r="L438" s="23" t="n">
        <x:v>0.81</x:v>
      </x:c>
      <x:c r="M438" s="9" t="str">
        <x:v>W</x:v>
      </x:c>
      <x:c r="N438" s="9" t="n">
        <x:f>IF(M438="W",1,IF(M438="L",0,""))</x:f>
        <x:v>1</x:v>
      </x:c>
      <x:c r="O438" s="24" t="n">
        <x:f>IF(OR(M438="W",M438="L"),(L438-N438)^2,"")</x:f>
        <x:v>0.03609999999999998</x:v>
      </x:c>
      <x:c r="P438" s="9" t="str">
        <x:v>NO</x:v>
      </x:c>
      <x:c r="Q438" s="9" t="str">
        <x:v>60-69</x:v>
      </x:c>
      <x:c r="R438" s="9" t="str">
        <x:v>YES</x:v>
      </x:c>
      <x:c r="S438" s="10" t="str">
        <x:v>ESPN event 760513; AP/AFC</x:v>
      </x:c>
      <x:c r="T438" s="10" t="str">
        <x:f>IF(IFERROR(ISNUMBER(SEARCH("http",S438)),FALSE),"YES","NO")</x:f>
        <x:v>NO</x:v>
      </x:c>
      <x:c r="U438" s="10" t="str">
        <x:v>NO</x:v>
      </x:c>
      <x:c r="V438" s="10" t="str">
        <x:v>NO</x:v>
      </x:c>
      <x:c r="W438" s="10" t="str">
        <x:v>LEGACY_UNVERIFIED_SNAPSHOT: no immutable cutoff/model/source packet</x:v>
      </x:c>
      <x:c r="X438" s="10" t="str">
        <x:v>legacy schema only</x:v>
      </x:c>
    </x:row>
    <x:row r="439">
      <x:c r="A439" s="9" t="n">
        <x:v>435</x:v>
      </x:c>
      <x:c r="B439" s="9" t="str">
        <x:v>SOC-20260712-ARG-SUI</x:v>
      </x:c>
      <x:c r="C439" s="25" t="str">
        <x:v>2026-07-12</x:v>
      </x:c>
      <x:c r="D439" s="9" t="str">
        <x:v>Soccer</x:v>
      </x:c>
      <x:c r="E439" s="9" t="str">
        <x:v>Soccer</x:v>
      </x:c>
      <x:c r="F439" s="10" t="str">
        <x:v>Argentina vs Switzerland</x:v>
      </x:c>
      <x:c r="G439" s="10" t="str">
        <x:v>FIFA World Cup 2026 quarter-final</x:v>
      </x:c>
      <x:c r="H439" s="10" t="str">
        <x:v>Regulation safety props</x:v>
      </x:c>
      <x:c r="I439" s="9" t="n">
        <x:v>4</x:v>
      </x:c>
      <x:c r="J439" s="10" t="str">
        <x:v>Match corners Under 13.5 regulation</x:v>
      </x:c>
      <x:c r="K439" s="9" t="str">
        <x:v>13.5</x:v>
      </x:c>
      <x:c r="L439" s="23" t="n">
        <x:v>0.79</x:v>
      </x:c>
      <x:c r="M439" s="9" t="str">
        <x:v>W</x:v>
      </x:c>
      <x:c r="N439" s="9" t="n">
        <x:f>IF(M439="W",1,IF(M439="L",0,""))</x:f>
        <x:v>1</x:v>
      </x:c>
      <x:c r="O439" s="24" t="n">
        <x:f>IF(OR(M439="W",M439="L"),(L439-N439)^2,"")</x:f>
        <x:v>0.044099999999999986</x:v>
      </x:c>
      <x:c r="P439" s="9" t="str">
        <x:v>NO</x:v>
      </x:c>
      <x:c r="Q439" s="9" t="str">
        <x:v>60-69</x:v>
      </x:c>
      <x:c r="R439" s="9" t="str">
        <x:v>YES</x:v>
      </x:c>
      <x:c r="S439" s="10" t="str">
        <x:v>ESPN event 760513; AP/AFC</x:v>
      </x:c>
      <x:c r="T439" s="10" t="str">
        <x:f>IF(IFERROR(ISNUMBER(SEARCH("http",S439)),FALSE),"YES","NO")</x:f>
        <x:v>NO</x:v>
      </x:c>
      <x:c r="U439" s="10" t="str">
        <x:v>NO</x:v>
      </x:c>
      <x:c r="V439" s="10" t="str">
        <x:v>NO</x:v>
      </x:c>
      <x:c r="W439" s="10" t="str">
        <x:v>LEGACY_UNVERIFIED_SNAPSHOT: no immutable cutoff/model/source packet</x:v>
      </x:c>
      <x:c r="X439" s="10" t="str">
        <x:v>legacy schema only</x:v>
      </x:c>
    </x:row>
    <x:row r="440">
      <x:c r="A440" s="9" t="n">
        <x:v>436</x:v>
      </x:c>
      <x:c r="B440" s="9" t="str">
        <x:v>AFL-20260712-BRI-ESS-LIVE</x:v>
      </x:c>
      <x:c r="C440" s="25" t="str">
        <x:v>2026-07-13</x:v>
      </x:c>
      <x:c r="D440" s="9" t="str">
        <x:v>Australian football</x:v>
      </x:c>
      <x:c r="E440" s="9" t="str">
        <x:v>AFL</x:v>
      </x:c>
      <x:c r="F440" s="10" t="str">
        <x:v>Brisbane Lions vs Essendon</x:v>
      </x:c>
      <x:c r="G440" s="10" t="str">
        <x:v>AFL Round 18</x:v>
      </x:c>
      <x:c r="H440" s="10" t="str">
        <x:v>Live halftime overlapping totals 160.5/180.5</x:v>
      </x:c>
      <x:c r="I440" s="9" t="n">
        <x:v>1</x:v>
      </x:c>
      <x:c r="J440" s="10" t="str">
        <x:v>Combined Total Under 180.5</x:v>
      </x:c>
      <x:c r="K440" s="9" t="str">
        <x:v>Under 180.5</x:v>
      </x:c>
      <x:c r="L440" s="23" t="n">
        <x:v>0.78</x:v>
      </x:c>
      <x:c r="M440" s="9" t="str">
        <x:v>L</x:v>
      </x:c>
      <x:c r="N440" s="9" t="n">
        <x:f>IF(M440="W",1,IF(M440="L",0,""))</x:f>
        <x:v>0</x:v>
      </x:c>
      <x:c r="O440" s="24" t="n">
        <x:f>IF(OR(M440="W",M440="L"),(L440-N440)^2,"")</x:f>
        <x:v>0.6084</x:v>
      </x:c>
      <x:c r="P440" s="9" t="str">
        <x:v>NO</x:v>
      </x:c>
      <x:c r="Q440" s="9" t="str">
        <x:v>70-79</x:v>
      </x:c>
      <x:c r="R440" s="9" t="str">
        <x:v>NO</x:v>
      </x:c>
      <x:c r="S440" s="10" t="str">
        <x:v>ESPN AFL summary event 1133627 final; AFL match centre cross-check</x:v>
      </x:c>
      <x:c r="T440" s="10" t="str">
        <x:f>IF(IFERROR(ISNUMBER(SEARCH("http",S440)),FALSE),"YES","NO")</x:f>
        <x:v>NO</x:v>
      </x:c>
      <x:c r="U440" s="10" t="str">
        <x:v>NO</x:v>
      </x:c>
      <x:c r="V440" s="10" t="str">
        <x:v>NO</x:v>
      </x:c>
      <x:c r="W440" s="10" t="str">
        <x:v>LEGACY_UNVERIFIED_SNAPSHOT: no immutable cutoff/model/source packet</x:v>
      </x:c>
      <x:c r="X440" s="10" t="str">
        <x:v>projection_error; rank_error</x:v>
      </x:c>
    </x:row>
    <x:row r="441">
      <x:c r="A441" s="9" t="n">
        <x:v>437</x:v>
      </x:c>
      <x:c r="B441" s="9" t="str">
        <x:v>AFL-20260712-BRI-ESS-LIVE</x:v>
      </x:c>
      <x:c r="C441" s="25" t="str">
        <x:v>2026-07-13</x:v>
      </x:c>
      <x:c r="D441" s="9" t="str">
        <x:v>Australian football</x:v>
      </x:c>
      <x:c r="E441" s="9" t="str">
        <x:v>AFL</x:v>
      </x:c>
      <x:c r="F441" s="10" t="str">
        <x:v>Brisbane Lions vs Essendon</x:v>
      </x:c>
      <x:c r="G441" s="10" t="str">
        <x:v>AFL Round 18</x:v>
      </x:c>
      <x:c r="H441" s="10" t="str">
        <x:v>Live halftime overlapping totals 160.5/180.5</x:v>
      </x:c>
      <x:c r="I441" s="9" t="n">
        <x:v>2</x:v>
      </x:c>
      <x:c r="J441" s="10" t="str">
        <x:v>Combined Total Over 160.5</x:v>
      </x:c>
      <x:c r="K441" s="9" t="str">
        <x:v>Over 160.5</x:v>
      </x:c>
      <x:c r="L441" s="23" t="n">
        <x:v>0.58</x:v>
      </x:c>
      <x:c r="M441" s="9" t="str">
        <x:v>W</x:v>
      </x:c>
      <x:c r="N441" s="9" t="n">
        <x:f>IF(M441="W",1,IF(M441="L",0,""))</x:f>
        <x:v>1</x:v>
      </x:c>
      <x:c r="O441" s="24" t="n">
        <x:f>IF(OR(M441="W",M441="L"),(L441-N441)^2,"")</x:f>
        <x:v>0.17640000000000003</x:v>
      </x:c>
      <x:c r="P441" s="9" t="str">
        <x:v>NO</x:v>
      </x:c>
      <x:c r="Q441" s="9" t="str">
        <x:v>50-59</x:v>
      </x:c>
      <x:c r="R441" s="9" t="str">
        <x:v>NO</x:v>
      </x:c>
      <x:c r="S441" s="10" t="str">
        <x:v>ESPN AFL summary event 1133627 final; AFL match centre cross-check</x:v>
      </x:c>
      <x:c r="T441" s="10" t="str">
        <x:f>IF(IFERROR(ISNUMBER(SEARCH("http",S441)),FALSE),"YES","NO")</x:f>
        <x:v>NO</x:v>
      </x:c>
      <x:c r="U441" s="10" t="str">
        <x:v>NO</x:v>
      </x:c>
      <x:c r="V441" s="10" t="str">
        <x:v>NO</x:v>
      </x:c>
      <x:c r="W441" s="10" t="str">
        <x:v>LEGACY_UNVERIFIED_SNAPSHOT: no immutable cutoff/model/source packet</x:v>
      </x:c>
      <x:c r="X441" s="10" t="str">
        <x:v>projection_error; rank_error</x:v>
      </x:c>
    </x:row>
    <x:row r="442">
      <x:c r="A442" s="9" t="n">
        <x:v>438</x:v>
      </x:c>
      <x:c r="B442" s="9" t="str">
        <x:v>MLB-20260713-MIL-PIT</x:v>
      </x:c>
      <x:c r="C442" s="25" t="str">
        <x:v>2026-07-13</x:v>
      </x:c>
      <x:c r="D442" s="9" t="str">
        <x:v>Baseball</x:v>
      </x:c>
      <x:c r="E442" s="9" t="str">
        <x:v>MLB</x:v>
      </x:c>
      <x:c r="F442" s="10" t="str">
        <x:v>Milwaukee Brewers @ Pittsburgh Pirates</x:v>
      </x:c>
      <x:c r="G442" s="10" t="str">
        <x:v>MLB regular season</x:v>
      </x:c>
      <x:c r="H442" s="10" t="str">
        <x:v>Both +1.5 run lines and total 8.5</x:v>
      </x:c>
      <x:c r="I442" s="9" t="n">
        <x:v>1</x:v>
      </x:c>
      <x:c r="J442" s="10" t="str">
        <x:v>Pirates +1.5</x:v>
      </x:c>
      <x:c r="K442" s="9" t="str">
        <x:v>+1.5</x:v>
      </x:c>
      <x:c r="L442" s="23" t="n">
        <x:v>0.73</x:v>
      </x:c>
      <x:c r="M442" s="9" t="str">
        <x:v>W</x:v>
      </x:c>
      <x:c r="N442" s="9" t="n">
        <x:f>IF(M442="W",1,IF(M442="L",0,""))</x:f>
        <x:v>1</x:v>
      </x:c>
      <x:c r="O442" s="24" t="n">
        <x:f>IF(OR(M442="W",M442="L"),(L442-N442)^2,"")</x:f>
        <x:v>0.0729</x:v>
      </x:c>
      <x:c r="P442" s="9" t="str">
        <x:v>NO</x:v>
      </x:c>
      <x:c r="Q442" s="9" t="str">
        <x:v>70-79</x:v>
      </x:c>
      <x:c r="R442" s="9" t="str">
        <x:v>NO</x:v>
      </x:c>
      <x:c r="S442" s="10" t="str">
        <x:v>https://statsapi.mlb.com/api/v1.1/game/823358/feed/live</x:v>
      </x:c>
      <x:c r="T442" s="10" t="str">
        <x:f>IF(IFERROR(ISNUMBER(SEARCH("http",S442)),FALSE),"YES","NO")</x:f>
        <x:v>YES</x:v>
      </x:c>
      <x:c r="U442" s="10" t="str">
        <x:v>NO</x:v>
      </x:c>
      <x:c r="V442" s="10" t="str">
        <x:v>NO</x:v>
      </x:c>
      <x:c r="W442" s="10" t="str">
        <x:v>LEGACY_UNVERIFIED_SNAPSHOT: no immutable cutoff/model/source packet</x:v>
      </x:c>
      <x:c r="X442" s="10" t="str">
        <x:v>legacy schema only</x:v>
      </x:c>
    </x:row>
    <x:row r="443">
      <x:c r="A443" s="9" t="n">
        <x:v>439</x:v>
      </x:c>
      <x:c r="B443" s="9" t="str">
        <x:v>MLB-20260713-MIL-PIT</x:v>
      </x:c>
      <x:c r="C443" s="25" t="str">
        <x:v>2026-07-13</x:v>
      </x:c>
      <x:c r="D443" s="9" t="str">
        <x:v>Baseball</x:v>
      </x:c>
      <x:c r="E443" s="9" t="str">
        <x:v>MLB</x:v>
      </x:c>
      <x:c r="F443" s="10" t="str">
        <x:v>Milwaukee Brewers @ Pittsburgh Pirates</x:v>
      </x:c>
      <x:c r="G443" s="10" t="str">
        <x:v>MLB regular season</x:v>
      </x:c>
      <x:c r="H443" s="10" t="str">
        <x:v>Both +1.5 run lines and total 8.5</x:v>
      </x:c>
      <x:c r="I443" s="9" t="n">
        <x:v>2</x:v>
      </x:c>
      <x:c r="J443" s="10" t="str">
        <x:v>Brewers +1.5</x:v>
      </x:c>
      <x:c r="K443" s="9" t="str">
        <x:v>+1.5</x:v>
      </x:c>
      <x:c r="L443" s="23" t="n">
        <x:v>0.66</x:v>
      </x:c>
      <x:c r="M443" s="9" t="str">
        <x:v>L</x:v>
      </x:c>
      <x:c r="N443" s="9" t="n">
        <x:f>IF(M443="W",1,IF(M443="L",0,""))</x:f>
        <x:v>0</x:v>
      </x:c>
      <x:c r="O443" s="24" t="n">
        <x:f>IF(OR(M443="W",M443="L"),(L443-N443)^2,"")</x:f>
        <x:v>0.43560000000000004</x:v>
      </x:c>
      <x:c r="P443" s="9" t="str">
        <x:v>NO</x:v>
      </x:c>
      <x:c r="Q443" s="9" t="str">
        <x:v>60-69</x:v>
      </x:c>
      <x:c r="R443" s="9" t="str">
        <x:v>NO</x:v>
      </x:c>
      <x:c r="S443" s="10" t="str">
        <x:v>https://statsapi.mlb.com/api/v1.1/game/823358/feed/live</x:v>
      </x:c>
      <x:c r="T443" s="10" t="str">
        <x:f>IF(IFERROR(ISNUMBER(SEARCH("http",S443)),FALSE),"YES","NO")</x:f>
        <x:v>YES</x:v>
      </x:c>
      <x:c r="U443" s="10" t="str">
        <x:v>NO</x:v>
      </x:c>
      <x:c r="V443" s="10" t="str">
        <x:v>NO</x:v>
      </x:c>
      <x:c r="W443" s="10" t="str">
        <x:v>LEGACY_UNVERIFIED_SNAPSHOT: no immutable cutoff/model/source packet</x:v>
      </x:c>
      <x:c r="X443" s="10" t="str">
        <x:v>projection_error; rank_error</x:v>
      </x:c>
    </x:row>
    <x:row r="444">
      <x:c r="A444" s="9" t="n">
        <x:v>440</x:v>
      </x:c>
      <x:c r="B444" s="9" t="str">
        <x:v>MLB-20260713-MIL-PIT</x:v>
      </x:c>
      <x:c r="C444" s="25" t="str">
        <x:v>2026-07-13</x:v>
      </x:c>
      <x:c r="D444" s="9" t="str">
        <x:v>Baseball</x:v>
      </x:c>
      <x:c r="E444" s="9" t="str">
        <x:v>MLB</x:v>
      </x:c>
      <x:c r="F444" s="10" t="str">
        <x:v>Milwaukee Brewers @ Pittsburgh Pirates</x:v>
      </x:c>
      <x:c r="G444" s="10" t="str">
        <x:v>MLB regular season</x:v>
      </x:c>
      <x:c r="H444" s="10" t="str">
        <x:v>Both +1.5 run lines and total 8.5</x:v>
      </x:c>
      <x:c r="I444" s="9" t="n">
        <x:v>3</x:v>
      </x:c>
      <x:c r="J444" s="10" t="str">
        <x:v>Combined Total Under 8.5</x:v>
      </x:c>
      <x:c r="K444" s="9" t="str">
        <x:v>8.5</x:v>
      </x:c>
      <x:c r="L444" s="23" t="n">
        <x:v>0.54</x:v>
      </x:c>
      <x:c r="M444" s="9" t="str">
        <x:v>L</x:v>
      </x:c>
      <x:c r="N444" s="9" t="n">
        <x:f>IF(M444="W",1,IF(M444="L",0,""))</x:f>
        <x:v>0</x:v>
      </x:c>
      <x:c r="O444" s="24" t="n">
        <x:f>IF(OR(M444="W",M444="L"),(L444-N444)^2,"")</x:f>
        <x:v>0.2916</x:v>
      </x:c>
      <x:c r="P444" s="9" t="str">
        <x:v>YES</x:v>
      </x:c>
      <x:c r="Q444" s="9" t="str">
        <x:v>50-59</x:v>
      </x:c>
      <x:c r="R444" s="9" t="str">
        <x:v>NO</x:v>
      </x:c>
      <x:c r="S444" s="10" t="str">
        <x:v>https://statsapi.mlb.com/api/v1.1/game/823358/feed/live</x:v>
      </x:c>
      <x:c r="T444" s="10" t="str">
        <x:f>IF(IFERROR(ISNUMBER(SEARCH("http",S444)),FALSE),"YES","NO")</x:f>
        <x:v>YES</x:v>
      </x:c>
      <x:c r="U444" s="10" t="str">
        <x:v>NO</x:v>
      </x:c>
      <x:c r="V444" s="10" t="str">
        <x:v>NO</x:v>
      </x:c>
      <x:c r="W444" s="10" t="str">
        <x:v>LEGACY_UNVERIFIED_SNAPSHOT: no immutable cutoff/model/source packet</x:v>
      </x:c>
      <x:c r="X444" s="10" t="str">
        <x:v>projection_error; rank_error; exact_complement_selection</x:v>
      </x:c>
    </x:row>
    <x:row r="445">
      <x:c r="A445" s="9" t="n">
        <x:v>441</x:v>
      </x:c>
      <x:c r="B445" s="9" t="str">
        <x:v>MLB-20260713-MIL-PIT</x:v>
      </x:c>
      <x:c r="C445" s="25" t="str">
        <x:v>2026-07-13</x:v>
      </x:c>
      <x:c r="D445" s="9" t="str">
        <x:v>Baseball</x:v>
      </x:c>
      <x:c r="E445" s="9" t="str">
        <x:v>MLB</x:v>
      </x:c>
      <x:c r="F445" s="10" t="str">
        <x:v>Milwaukee Brewers @ Pittsburgh Pirates</x:v>
      </x:c>
      <x:c r="G445" s="10" t="str">
        <x:v>MLB regular season</x:v>
      </x:c>
      <x:c r="H445" s="10" t="str">
        <x:v>Both +1.5 run lines and total 8.5</x:v>
      </x:c>
      <x:c r="I445" s="9" t="n">
        <x:v>4</x:v>
      </x:c>
      <x:c r="J445" s="10" t="str">
        <x:v>Combined Total Over 8.5</x:v>
      </x:c>
      <x:c r="K445" s="9" t="str">
        <x:v>8.5</x:v>
      </x:c>
      <x:c r="L445" s="23" t="n">
        <x:v>0.46</x:v>
      </x:c>
      <x:c r="M445" s="9" t="str">
        <x:v>W</x:v>
      </x:c>
      <x:c r="N445" s="9" t="n">
        <x:f>IF(M445="W",1,IF(M445="L",0,""))</x:f>
        <x:v>1</x:v>
      </x:c>
      <x:c r="O445" s="24" t="n">
        <x:f>IF(OR(M445="W",M445="L"),(L445-N445)^2,"")</x:f>
        <x:v>0.2916</x:v>
      </x:c>
      <x:c r="P445" s="9" t="str">
        <x:v>YES</x:v>
      </x:c>
      <x:c r="Q445" s="9" t="str">
        <x:v>40-49</x:v>
      </x:c>
      <x:c r="R445" s="9" t="str">
        <x:v>NO</x:v>
      </x:c>
      <x:c r="S445" s="10" t="str">
        <x:v>https://statsapi.mlb.com/api/v1.1/game/823358/feed/live</x:v>
      </x:c>
      <x:c r="T445" s="10" t="str">
        <x:f>IF(IFERROR(ISNUMBER(SEARCH("http",S445)),FALSE),"YES","NO")</x:f>
        <x:v>YES</x:v>
      </x:c>
      <x:c r="U445" s="10" t="str">
        <x:v>NO</x:v>
      </x:c>
      <x:c r="V445" s="10" t="str">
        <x:v>NO</x:v>
      </x:c>
      <x:c r="W445" s="10" t="str">
        <x:v>LEGACY_UNVERIFIED_SNAPSHOT: no immutable cutoff/model/source packet</x:v>
      </x:c>
      <x:c r="X445" s="10" t="str">
        <x:v>projection_error; rank_error; exact_complement_selection</x:v>
      </x:c>
    </x:row>
    <x:row r="446">
      <x:c r="A446" s="9" t="n">
        <x:v>442</x:v>
      </x:c>
      <x:c r="B446" s="9" t="str">
        <x:v>MLB-20260713-HOU-TEX</x:v>
      </x:c>
      <x:c r="C446" s="25" t="str">
        <x:v>2026-07-13</x:v>
      </x:c>
      <x:c r="D446" s="9" t="str">
        <x:v>Baseball</x:v>
      </x:c>
      <x:c r="E446" s="9" t="str">
        <x:v>MLB</x:v>
      </x:c>
      <x:c r="F446" s="10" t="str">
        <x:v>Houston Astros @ Texas Rangers</x:v>
      </x:c>
      <x:c r="G446" s="10" t="str">
        <x:v>MLB regular season</x:v>
      </x:c>
      <x:c r="H446" s="10" t="str">
        <x:v>Astros +1.5, Rangers ML and total 9.0</x:v>
      </x:c>
      <x:c r="I446" s="9" t="n">
        <x:v>1</x:v>
      </x:c>
      <x:c r="J446" s="10" t="str">
        <x:v>Astros +1.5</x:v>
      </x:c>
      <x:c r="K446" s="9" t="str">
        <x:v>+1.5</x:v>
      </x:c>
      <x:c r="L446" s="23" t="n">
        <x:v>0.64</x:v>
      </x:c>
      <x:c r="M446" s="9" t="str">
        <x:v>W</x:v>
      </x:c>
      <x:c r="N446" s="9" t="n">
        <x:f>IF(M446="W",1,IF(M446="L",0,""))</x:f>
        <x:v>1</x:v>
      </x:c>
      <x:c r="O446" s="24" t="n">
        <x:f>IF(OR(M446="W",M446="L"),(L446-N446)^2,"")</x:f>
        <x:v>0.1296</x:v>
      </x:c>
      <x:c r="P446" s="9" t="str">
        <x:v>NO</x:v>
      </x:c>
      <x:c r="Q446" s="9" t="str">
        <x:v>60-69</x:v>
      </x:c>
      <x:c r="R446" s="9" t="str">
        <x:v>NO</x:v>
      </x:c>
      <x:c r="S446" s="10" t="str">
        <x:v>https://statsapi.mlb.com/api/v1.1/game/822876/feed/live</x:v>
      </x:c>
      <x:c r="T446" s="10" t="str">
        <x:f>IF(IFERROR(ISNUMBER(SEARCH("http",S446)),FALSE),"YES","NO")</x:f>
        <x:v>YES</x:v>
      </x:c>
      <x:c r="U446" s="10" t="str">
        <x:v>NO</x:v>
      </x:c>
      <x:c r="V446" s="10" t="str">
        <x:v>NO</x:v>
      </x:c>
      <x:c r="W446" s="10" t="str">
        <x:v>LEGACY_UNVERIFIED_SNAPSHOT: no immutable cutoff/model/source packet</x:v>
      </x:c>
      <x:c r="X446" s="10" t="str">
        <x:v>legacy schema only</x:v>
      </x:c>
    </x:row>
    <x:row r="447">
      <x:c r="A447" s="9" t="n">
        <x:v>443</x:v>
      </x:c>
      <x:c r="B447" s="9" t="str">
        <x:v>MLB-20260713-HOU-TEX</x:v>
      </x:c>
      <x:c r="C447" s="25" t="str">
        <x:v>2026-07-13</x:v>
      </x:c>
      <x:c r="D447" s="9" t="str">
        <x:v>Baseball</x:v>
      </x:c>
      <x:c r="E447" s="9" t="str">
        <x:v>MLB</x:v>
      </x:c>
      <x:c r="F447" s="10" t="str">
        <x:v>Houston Astros @ Texas Rangers</x:v>
      </x:c>
      <x:c r="G447" s="10" t="str">
        <x:v>MLB regular season</x:v>
      </x:c>
      <x:c r="H447" s="10" t="str">
        <x:v>Astros +1.5, Rangers ML and total 9.0</x:v>
      </x:c>
      <x:c r="I447" s="9" t="n">
        <x:v>2</x:v>
      </x:c>
      <x:c r="J447" s="10" t="str">
        <x:v>Combined Total Over 9.0</x:v>
      </x:c>
      <x:c r="K447" s="9" t="str">
        <x:v>9.0</x:v>
      </x:c>
      <x:c r="L447" s="23" t="n">
        <x:v>0.49</x:v>
      </x:c>
      <x:c r="M447" s="9" t="str">
        <x:v>W</x:v>
      </x:c>
      <x:c r="N447" s="9" t="n">
        <x:f>IF(M447="W",1,IF(M447="L",0,""))</x:f>
        <x:v>1</x:v>
      </x:c>
      <x:c r="O447" s="24" t="n">
        <x:f>IF(OR(M447="W",M447="L"),(L447-N447)^2,"")</x:f>
        <x:v>0.2601</x:v>
      </x:c>
      <x:c r="P447" s="9" t="str">
        <x:v>YES</x:v>
      </x:c>
      <x:c r="Q447" s="9" t="str">
        <x:v>40-49</x:v>
      </x:c>
      <x:c r="R447" s="9" t="str">
        <x:v>NO</x:v>
      </x:c>
      <x:c r="S447" s="10" t="str">
        <x:v>https://statsapi.mlb.com/api/v1.1/game/822876/feed/live</x:v>
      </x:c>
      <x:c r="T447" s="10" t="str">
        <x:f>IF(IFERROR(ISNUMBER(SEARCH("http",S447)),FALSE),"YES","NO")</x:f>
        <x:v>YES</x:v>
      </x:c>
      <x:c r="U447" s="10" t="str">
        <x:v>NO</x:v>
      </x:c>
      <x:c r="V447" s="10" t="str">
        <x:v>NO</x:v>
      </x:c>
      <x:c r="W447" s="10" t="str">
        <x:v>LEGACY_UNVERIFIED_SNAPSHOT: no immutable cutoff/model/source packet</x:v>
      </x:c>
      <x:c r="X447" s="10" t="str">
        <x:v>exact_complement_selection</x:v>
      </x:c>
    </x:row>
    <x:row r="448">
      <x:c r="A448" s="9" t="n">
        <x:v>444</x:v>
      </x:c>
      <x:c r="B448" s="9" t="str">
        <x:v>MLB-20260713-HOU-TEX</x:v>
      </x:c>
      <x:c r="C448" s="25" t="str">
        <x:v>2026-07-13</x:v>
      </x:c>
      <x:c r="D448" s="9" t="str">
        <x:v>Baseball</x:v>
      </x:c>
      <x:c r="E448" s="9" t="str">
        <x:v>MLB</x:v>
      </x:c>
      <x:c r="F448" s="10" t="str">
        <x:v>Houston Astros @ Texas Rangers</x:v>
      </x:c>
      <x:c r="G448" s="10" t="str">
        <x:v>MLB regular season</x:v>
      </x:c>
      <x:c r="H448" s="10" t="str">
        <x:v>Astros +1.5, Rangers ML and total 9.0</x:v>
      </x:c>
      <x:c r="I448" s="9" t="n">
        <x:v>3</x:v>
      </x:c>
      <x:c r="J448" s="10" t="str">
        <x:v>Rangers ML</x:v>
      </x:c>
      <x:c r="K448" s="9" t="str">
        <x:v>ML</x:v>
      </x:c>
      <x:c r="L448" s="23" t="n">
        <x:v>0.55</x:v>
      </x:c>
      <x:c r="M448" s="9" t="str">
        <x:v>W</x:v>
      </x:c>
      <x:c r="N448" s="9" t="n">
        <x:f>IF(M448="W",1,IF(M448="L",0,""))</x:f>
        <x:v>1</x:v>
      </x:c>
      <x:c r="O448" s="24" t="n">
        <x:f>IF(OR(M448="W",M448="L"),(L448-N448)^2,"")</x:f>
        <x:v>0.20249999999999996</x:v>
      </x:c>
      <x:c r="P448" s="9" t="str">
        <x:v>NO</x:v>
      </x:c>
      <x:c r="Q448" s="9" t="str">
        <x:v>50-59</x:v>
      </x:c>
      <x:c r="R448" s="9" t="str">
        <x:v>NO</x:v>
      </x:c>
      <x:c r="S448" s="10" t="str">
        <x:v>https://statsapi.mlb.com/api/v1.1/game/822876/feed/live</x:v>
      </x:c>
      <x:c r="T448" s="10" t="str">
        <x:f>IF(IFERROR(ISNUMBER(SEARCH("http",S448)),FALSE),"YES","NO")</x:f>
        <x:v>YES</x:v>
      </x:c>
      <x:c r="U448" s="10" t="str">
        <x:v>NO</x:v>
      </x:c>
      <x:c r="V448" s="10" t="str">
        <x:v>NO</x:v>
      </x:c>
      <x:c r="W448" s="10" t="str">
        <x:v>LEGACY_UNVERIFIED_SNAPSHOT: no immutable cutoff/model/source packet</x:v>
      </x:c>
      <x:c r="X448" s="10" t="str">
        <x:v>legacy schema only</x:v>
      </x:c>
    </x:row>
    <x:row r="449">
      <x:c r="A449" s="9" t="n">
        <x:v>445</x:v>
      </x:c>
      <x:c r="B449" s="9" t="str">
        <x:v>MLB-20260713-HOU-TEX</x:v>
      </x:c>
      <x:c r="C449" s="25" t="str">
        <x:v>2026-07-13</x:v>
      </x:c>
      <x:c r="D449" s="9" t="str">
        <x:v>Baseball</x:v>
      </x:c>
      <x:c r="E449" s="9" t="str">
        <x:v>MLB</x:v>
      </x:c>
      <x:c r="F449" s="10" t="str">
        <x:v>Houston Astros @ Texas Rangers</x:v>
      </x:c>
      <x:c r="G449" s="10" t="str">
        <x:v>MLB regular season</x:v>
      </x:c>
      <x:c r="H449" s="10" t="str">
        <x:v>Astros +1.5, Rangers ML and total 9.0</x:v>
      </x:c>
      <x:c r="I449" s="9" t="n">
        <x:v>4</x:v>
      </x:c>
      <x:c r="J449" s="10" t="str">
        <x:v>Combined Total Under 9.0</x:v>
      </x:c>
      <x:c r="K449" s="9" t="str">
        <x:v>9.0</x:v>
      </x:c>
      <x:c r="L449" s="23" t="n">
        <x:v>0.38</x:v>
      </x:c>
      <x:c r="M449" s="9" t="str">
        <x:v>L</x:v>
      </x:c>
      <x:c r="N449" s="9" t="n">
        <x:f>IF(M449="W",1,IF(M449="L",0,""))</x:f>
        <x:v>0</x:v>
      </x:c>
      <x:c r="O449" s="24" t="n">
        <x:f>IF(OR(M449="W",M449="L"),(L449-N449)^2,"")</x:f>
        <x:v>0.1444</x:v>
      </x:c>
      <x:c r="P449" s="9" t="str">
        <x:v>YES</x:v>
      </x:c>
      <x:c r="Q449" s="9" t="str">
        <x:v>30-39</x:v>
      </x:c>
      <x:c r="R449" s="9" t="str">
        <x:v>NO</x:v>
      </x:c>
      <x:c r="S449" s="10" t="str">
        <x:v>https://statsapi.mlb.com/api/v1.1/game/822876/feed/live</x:v>
      </x:c>
      <x:c r="T449" s="10" t="str">
        <x:f>IF(IFERROR(ISNUMBER(SEARCH("http",S449)),FALSE),"YES","NO")</x:f>
        <x:v>YES</x:v>
      </x:c>
      <x:c r="U449" s="10" t="str">
        <x:v>NO</x:v>
      </x:c>
      <x:c r="V449" s="10" t="str">
        <x:v>NO</x:v>
      </x:c>
      <x:c r="W449" s="10" t="str">
        <x:v>LEGACY_UNVERIFIED_SNAPSHOT: no immutable cutoff/model/source packet</x:v>
      </x:c>
      <x:c r="X449" s="10" t="str">
        <x:v>exact_complement_selection</x:v>
      </x:c>
    </x:row>
    <x:row r="450">
      <x:c r="A450" s="9" t="n">
        <x:v>446</x:v>
      </x:c>
      <x:c r="B450" s="9" t="str">
        <x:v>WNBA-20260713-SEA-WAS-LIVE</x:v>
      </x:c>
      <x:c r="C450" s="25" t="str">
        <x:v>2026-07-13</x:v>
      </x:c>
      <x:c r="D450" s="9" t="str">
        <x:v>Basketball</x:v>
      </x:c>
      <x:c r="E450" s="9" t="str">
        <x:v>WNBA</x:v>
      </x:c>
      <x:c r="F450" s="10" t="str">
        <x:v>Seattle Storm @ Washington Mystics</x:v>
      </x:c>
      <x:c r="G450" s="10" t="str">
        <x:v>WNBA regular season</x:v>
      </x:c>
      <x:c r="H450" s="10" t="str">
        <x:v>Live-start Q1 41.0, 1H 83.5 and full 162.5</x:v>
      </x:c>
      <x:c r="I450" s="9" t="n">
        <x:v>1</x:v>
      </x:c>
      <x:c r="J450" s="10" t="str">
        <x:v>Q1 Over 41.0</x:v>
      </x:c>
      <x:c r="K450" s="9" t="str">
        <x:v>41.0</x:v>
      </x:c>
      <x:c r="L450" s="23" t="n">
        <x:v>0.72</x:v>
      </x:c>
      <x:c r="M450" s="9" t="str">
        <x:v>W</x:v>
      </x:c>
      <x:c r="N450" s="9" t="n">
        <x:f>IF(M450="W",1,IF(M450="L",0,""))</x:f>
        <x:v>1</x:v>
      </x:c>
      <x:c r="O450" s="24" t="n">
        <x:f>IF(OR(M450="W",M450="L"),(L450-N450)^2,"")</x:f>
        <x:v>0.07840000000000001</x:v>
      </x:c>
      <x:c r="P450" s="9" t="str">
        <x:v>NO</x:v>
      </x:c>
      <x:c r="Q450" s="9" t="str">
        <x:v>70-79</x:v>
      </x:c>
      <x:c r="R450" s="9" t="str">
        <x:v>NO</x:v>
      </x:c>
      <x:c r="S450" s="10" t="str">
        <x:v>https://site.api.espn.com/apis/site/v2/sports/basketball/wnba/summary?event=401857061</x:v>
      </x:c>
      <x:c r="T450" s="10" t="str">
        <x:f>IF(IFERROR(ISNUMBER(SEARCH("http",S450)),FALSE),"YES","NO")</x:f>
        <x:v>YES</x:v>
      </x:c>
      <x:c r="U450" s="10" t="str">
        <x:v>NO</x:v>
      </x:c>
      <x:c r="V450" s="10" t="str">
        <x:v>NO</x:v>
      </x:c>
      <x:c r="W450" s="10" t="str">
        <x:v>LEGACY_UNVERIFIED_SNAPSHOT: no immutable cutoff/model/source packet</x:v>
      </x:c>
      <x:c r="X450" s="10" t="str">
        <x:v>legacy schema only</x:v>
      </x:c>
    </x:row>
    <x:row r="451">
      <x:c r="A451" s="9" t="n">
        <x:v>447</x:v>
      </x:c>
      <x:c r="B451" s="9" t="str">
        <x:v>WNBA-20260713-SEA-WAS-LIVE</x:v>
      </x:c>
      <x:c r="C451" s="25" t="str">
        <x:v>2026-07-13</x:v>
      </x:c>
      <x:c r="D451" s="9" t="str">
        <x:v>Basketball</x:v>
      </x:c>
      <x:c r="E451" s="9" t="str">
        <x:v>WNBA</x:v>
      </x:c>
      <x:c r="F451" s="10" t="str">
        <x:v>Seattle Storm @ Washington Mystics</x:v>
      </x:c>
      <x:c r="G451" s="10" t="str">
        <x:v>WNBA regular season</x:v>
      </x:c>
      <x:c r="H451" s="10" t="str">
        <x:v>Live-start Q1 41.0, 1H 83.5 and full 162.5</x:v>
      </x:c>
      <x:c r="I451" s="9" t="n">
        <x:v>2</x:v>
      </x:c>
      <x:c r="J451" s="10" t="str">
        <x:v>Full Game Under 162.5</x:v>
      </x:c>
      <x:c r="K451" s="9" t="str">
        <x:v>162.5</x:v>
      </x:c>
      <x:c r="L451" s="23" t="n">
        <x:v>0.55</x:v>
      </x:c>
      <x:c r="M451" s="9" t="str">
        <x:v>L</x:v>
      </x:c>
      <x:c r="N451" s="9" t="n">
        <x:f>IF(M451="W",1,IF(M451="L",0,""))</x:f>
        <x:v>0</x:v>
      </x:c>
      <x:c r="O451" s="24" t="n">
        <x:f>IF(OR(M451="W",M451="L"),(L451-N451)^2,"")</x:f>
        <x:v>0.30250000000000005</x:v>
      </x:c>
      <x:c r="P451" s="9" t="str">
        <x:v>NO</x:v>
      </x:c>
      <x:c r="Q451" s="9" t="str">
        <x:v>50-59</x:v>
      </x:c>
      <x:c r="R451" s="9" t="str">
        <x:v>NO</x:v>
      </x:c>
      <x:c r="S451" s="10" t="str">
        <x:v>https://site.api.espn.com/apis/site/v2/sports/basketball/wnba/summary?event=401857061</x:v>
      </x:c>
      <x:c r="T451" s="10" t="str">
        <x:f>IF(IFERROR(ISNUMBER(SEARCH("http",S451)),FALSE),"YES","NO")</x:f>
        <x:v>YES</x:v>
      </x:c>
      <x:c r="U451" s="10" t="str">
        <x:v>NO</x:v>
      </x:c>
      <x:c r="V451" s="10" t="str">
        <x:v>NO</x:v>
      </x:c>
      <x:c r="W451" s="10" t="str">
        <x:v>LEGACY_UNVERIFIED_SNAPSHOT: no immutable cutoff/model/source packet</x:v>
      </x:c>
      <x:c r="X451" s="10" t="str">
        <x:v>projection_error; rank_error</x:v>
      </x:c>
    </x:row>
    <x:row r="452">
      <x:c r="A452" s="9" t="n">
        <x:v>448</x:v>
      </x:c>
      <x:c r="B452" s="9" t="str">
        <x:v>WNBA-20260713-SEA-WAS-LIVE</x:v>
      </x:c>
      <x:c r="C452" s="25" t="str">
        <x:v>2026-07-13</x:v>
      </x:c>
      <x:c r="D452" s="9" t="str">
        <x:v>Basketball</x:v>
      </x:c>
      <x:c r="E452" s="9" t="str">
        <x:v>WNBA</x:v>
      </x:c>
      <x:c r="F452" s="10" t="str">
        <x:v>Seattle Storm @ Washington Mystics</x:v>
      </x:c>
      <x:c r="G452" s="10" t="str">
        <x:v>WNBA regular season</x:v>
      </x:c>
      <x:c r="H452" s="10" t="str">
        <x:v>Live-start Q1 41.0, 1H 83.5 and full 162.5</x:v>
      </x:c>
      <x:c r="I452" s="9" t="n">
        <x:v>3</x:v>
      </x:c>
      <x:c r="J452" s="10" t="str">
        <x:v>First Half Under 83.5</x:v>
      </x:c>
      <x:c r="K452" s="9" t="str">
        <x:v>83.5</x:v>
      </x:c>
      <x:c r="L452" s="23" t="n">
        <x:v>0.53</x:v>
      </x:c>
      <x:c r="M452" s="9" t="str">
        <x:v>L</x:v>
      </x:c>
      <x:c r="N452" s="9" t="n">
        <x:f>IF(M452="W",1,IF(M452="L",0,""))</x:f>
        <x:v>0</x:v>
      </x:c>
      <x:c r="O452" s="24" t="n">
        <x:f>IF(OR(M452="W",M452="L"),(L452-N452)^2,"")</x:f>
        <x:v>0.28090000000000004</x:v>
      </x:c>
      <x:c r="P452" s="9" t="str">
        <x:v>YES</x:v>
      </x:c>
      <x:c r="Q452" s="9" t="str">
        <x:v>50-59</x:v>
      </x:c>
      <x:c r="R452" s="9" t="str">
        <x:v>NO</x:v>
      </x:c>
      <x:c r="S452" s="10" t="str">
        <x:v>https://site.api.espn.com/apis/site/v2/sports/basketball/wnba/summary?event=401857061</x:v>
      </x:c>
      <x:c r="T452" s="10" t="str">
        <x:f>IF(IFERROR(ISNUMBER(SEARCH("http",S452)),FALSE),"YES","NO")</x:f>
        <x:v>YES</x:v>
      </x:c>
      <x:c r="U452" s="10" t="str">
        <x:v>NO</x:v>
      </x:c>
      <x:c r="V452" s="10" t="str">
        <x:v>NO</x:v>
      </x:c>
      <x:c r="W452" s="10" t="str">
        <x:v>LEGACY_UNVERIFIED_SNAPSHOT: no immutable cutoff/model/source packet</x:v>
      </x:c>
      <x:c r="X452" s="10" t="str">
        <x:v>projection_error; rank_error; exact_complement_selection</x:v>
      </x:c>
    </x:row>
    <x:row r="453">
      <x:c r="A453" s="9" t="n">
        <x:v>449</x:v>
      </x:c>
      <x:c r="B453" s="9" t="str">
        <x:v>WNBA-20260713-SEA-WAS-LIVE</x:v>
      </x:c>
      <x:c r="C453" s="25" t="str">
        <x:v>2026-07-13</x:v>
      </x:c>
      <x:c r="D453" s="9" t="str">
        <x:v>Basketball</x:v>
      </x:c>
      <x:c r="E453" s="9" t="str">
        <x:v>WNBA</x:v>
      </x:c>
      <x:c r="F453" s="10" t="str">
        <x:v>Seattle Storm @ Washington Mystics</x:v>
      </x:c>
      <x:c r="G453" s="10" t="str">
        <x:v>WNBA regular season</x:v>
      </x:c>
      <x:c r="H453" s="10" t="str">
        <x:v>Live-start Q1 41.0, 1H 83.5 and full 162.5</x:v>
      </x:c>
      <x:c r="I453" s="9" t="n">
        <x:v>4</x:v>
      </x:c>
      <x:c r="J453" s="10" t="str">
        <x:v>First Half Over 83.5</x:v>
      </x:c>
      <x:c r="K453" s="9" t="str">
        <x:v>83.5</x:v>
      </x:c>
      <x:c r="L453" s="23" t="n">
        <x:v>0.48</x:v>
      </x:c>
      <x:c r="M453" s="9" t="str">
        <x:v>W</x:v>
      </x:c>
      <x:c r="N453" s="9" t="n">
        <x:f>IF(M453="W",1,IF(M453="L",0,""))</x:f>
        <x:v>1</x:v>
      </x:c>
      <x:c r="O453" s="24" t="n">
        <x:f>IF(OR(M453="W",M453="L"),(L453-N453)^2,"")</x:f>
        <x:v>0.27040000000000003</x:v>
      </x:c>
      <x:c r="P453" s="9" t="str">
        <x:v>YES</x:v>
      </x:c>
      <x:c r="Q453" s="9" t="str">
        <x:v>40-49</x:v>
      </x:c>
      <x:c r="R453" s="9" t="str">
        <x:v>NO</x:v>
      </x:c>
      <x:c r="S453" s="10" t="str">
        <x:v>https://site.api.espn.com/apis/site/v2/sports/basketball/wnba/summary?event=401857061</x:v>
      </x:c>
      <x:c r="T453" s="10" t="str">
        <x:f>IF(IFERROR(ISNUMBER(SEARCH("http",S453)),FALSE),"YES","NO")</x:f>
        <x:v>YES</x:v>
      </x:c>
      <x:c r="U453" s="10" t="str">
        <x:v>NO</x:v>
      </x:c>
      <x:c r="V453" s="10" t="str">
        <x:v>NO</x:v>
      </x:c>
      <x:c r="W453" s="10" t="str">
        <x:v>LEGACY_UNVERIFIED_SNAPSHOT: no immutable cutoff/model/source packet</x:v>
      </x:c>
      <x:c r="X453" s="10" t="str">
        <x:v>projection_error; rank_error; exact_complement_selection</x:v>
      </x:c>
    </x:row>
  </x:sheetData>
  <x:mergeCells>
    <x:mergeCell ref="A1:X1"/>
    <x:mergeCell ref="A2:X2"/>
  </x:mergeCells>
  <x:conditionalFormatting sqref="P5:P453">
    <x:cfRule type="containsText" dxfId="0" priority="1" operator="containsText" text="YES"/>
  </x:conditionalFormatting>
  <x:conditionalFormatting sqref="R5:R453">
    <x:cfRule type="containsText" dxfId="1" priority="2" operator="containsText" text="YES"/>
  </x:conditionalFormatting>
  <x:conditionalFormatting sqref="U5:U453">
    <x:cfRule type="containsText" dxfId="2" priority="3" operator="containsText" text="YES"/>
  </x:conditionalFormatting>
  <x:conditionalFormatting sqref="V5:V453">
    <x:cfRule type="containsText" dxfId="3" priority="4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9e165973fe9e4b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30" hidden="0" customWidth="1"/>
    <x:col min="4" max="4" width="58" hidden="0" customWidth="1"/>
    <x:col min="5" max="5" width="48" hidden="0" customWidth="1"/>
  </x:cols>
  <x:sheetData>
    <x:row r="1" ht="30" customHeight="1">
      <x:c r="A1" s="3" t="str">
        <x:v>Verified Primary Source Map</x:v>
      </x:c>
      <x:c r="B1" s="3"/>
      <x:c r="C1" s="3"/>
      <x:c r="D1" s="3"/>
      <x:c r="E1" s="3"/>
    </x:row>
    <x:row r="2" ht="34" customHeight="1">
      <x:c r="A2" s="7" t="str">
        <x:v>High-level entry points verified during the 2026-07-16 sweep. Exact event pages, effective dates and point-in-time captures are still required per forecast.</x:v>
      </x:c>
      <x:c r="B2" s="7"/>
      <x:c r="C2" s="7"/>
      <x:c r="D2" s="7"/>
      <x:c r="E2" s="7"/>
    </x:row>
    <x:row r="4">
      <x:c r="A4" s="22" t="str">
        <x:v>Sport</x:v>
      </x:c>
      <x:c r="B4" s="22" t="str">
        <x:v>Publisher</x:v>
      </x:c>
      <x:c r="C4" s="22" t="str">
        <x:v>Fact classes</x:v>
      </x:c>
      <x:c r="D4" s="22" t="str">
        <x:v>Entry URL</x:v>
      </x:c>
      <x:c r="E4" s="22" t="str">
        <x:v>Critical qualification</x:v>
      </x:c>
    </x:row>
    <x:row r="5">
      <x:c r="A5" s="9" t="str">
        <x:v>Australian football</x:v>
      </x:c>
      <x:c r="B5" s="9" t="str">
        <x:v>AFL</x:v>
      </x:c>
      <x:c r="C5" s="10" t="str">
        <x:v>Fixtures/results/rules</x:v>
      </x:c>
      <x:c r="D5" s="10" t="str">
        <x:v>https://www.afl.com.au/fixture</x:v>
      </x:c>
      <x:c r="E5" s="10" t="str">
        <x:v>Use official match centre/team sheet; variant rules by competition</x:v>
      </x:c>
    </x:row>
    <x:row r="6">
      <x:c r="A6" s="9" t="str">
        <x:v>Baseball</x:v>
      </x:c>
      <x:c r="B6" s="9" t="str">
        <x:v>MLB</x:v>
      </x:c>
      <x:c r="C6" s="10" t="str">
        <x:v>Schedule, lineups, stats, rules</x:v>
      </x:c>
      <x:c r="D6" s="10" t="str">
        <x:v>https://www.mlb.com/schedule</x:v>
      </x:c>
      <x:c r="E6" s="10" t="str">
        <x:v>Gameday/gamebook controls; public StatsAPI is undocumented</x:v>
      </x:c>
    </x:row>
    <x:row r="7">
      <x:c r="A7" s="9" t="str">
        <x:v>Baseball</x:v>
      </x:c>
      <x:c r="B7" s="9" t="str">
        <x:v>NPB</x:v>
      </x:c>
      <x:c r="C7" s="10" t="str">
        <x:v>Games, starters, registration</x:v>
      </x:c>
      <x:c r="D7" s="10" t="str">
        <x:v>https://npb.jp/eng/</x:v>
      </x:c>
      <x:c r="E7" s="10" t="str">
        <x:v>Clubs supply many injury facts</x:v>
      </x:c>
    </x:row>
    <x:row r="8">
      <x:c r="A8" s="9" t="str">
        <x:v>Baseball</x:v>
      </x:c>
      <x:c r="B8" s="9" t="str">
        <x:v>KBO</x:v>
      </x:c>
      <x:c r="C8" s="10" t="str">
        <x:v>GameCenter and records</x:v>
      </x:c>
      <x:c r="D8" s="10" t="str">
        <x:v>https://www.koreabaseball.com/Schedule/Schedule.aspx</x:v>
      </x:c>
      <x:c r="E8" s="10" t="str">
        <x:v>MyKBO/Naver are secondary</x:v>
      </x:c>
    </x:row>
    <x:row r="9">
      <x:c r="A9" s="9" t="str">
        <x:v>Basketball</x:v>
      </x:c>
      <x:c r="B9" s="9" t="str">
        <x:v>NBA/WNBA</x:v>
      </x:c>
      <x:c r="C9" s="10" t="str">
        <x:v>Schedule/stats/rules</x:v>
      </x:c>
      <x:c r="D9" s="10" t="str">
        <x:v>https://official.nba.com/</x:v>
      </x:c>
      <x:c r="E9" s="10" t="str">
        <x:v>Season-specific injury reports; Summer League separate</x:v>
      </x:c>
    </x:row>
    <x:row r="10">
      <x:c r="A10" s="9" t="str">
        <x:v>Basketball</x:v>
      </x:c>
      <x:c r="B10" s="9" t="str">
        <x:v>FIBA</x:v>
      </x:c>
      <x:c r="C10" s="10" t="str">
        <x:v>Event reports/rules</x:v>
      </x:c>
      <x:c r="D10" s="10" t="str">
        <x:v>https://about.fiba.basketball/en/services/resource-hub/downloads</x:v>
      </x:c>
      <x:c r="E10" s="10" t="str">
        <x:v>2026 changes effective 2026-10-01; 2024 baseline until then</x:v>
      </x:c>
    </x:row>
    <x:row r="11">
      <x:c r="A11" s="9" t="str">
        <x:v>Cricket</x:v>
      </x:c>
      <x:c r="B11" s="9" t="str">
        <x:v>ICC/MCC</x:v>
      </x:c>
      <x:c r="C11" s="10" t="str">
        <x:v>Fixtures, conditions, Laws</x:v>
      </x:c>
      <x:c r="D11" s="10" t="str">
        <x:v>https://www.icc-cricket.com/about/cricket/rules-and-regulations/playing-conditions</x:v>
      </x:c>
      <x:c r="E11" s="10" t="str">
        <x:v>MCC 2026 Laws effective 2026-10-01 unless adopted earlier</x:v>
      </x:c>
    </x:row>
    <x:row r="12">
      <x:c r="A12" s="9" t="str">
        <x:v>Rugby league</x:v>
      </x:c>
      <x:c r="B12" s="9" t="str">
        <x:v>NRL</x:v>
      </x:c>
      <x:c r="C12" s="10" t="str">
        <x:v>Draw, stats, team lists</x:v>
      </x:c>
      <x:c r="D12" s="10" t="str">
        <x:v>https://www.nrl.com/draw/</x:v>
      </x:c>
      <x:c r="E12" s="10" t="str">
        <x:v>2026 final 19 at T-90m; verify actual 17 at kickoff</x:v>
      </x:c>
    </x:row>
    <x:row r="13">
      <x:c r="A13" s="9" t="str">
        <x:v>Soccer</x:v>
      </x:c>
      <x:c r="B13" s="9" t="str">
        <x:v>FIFA/IFAB</x:v>
      </x:c>
      <x:c r="C13" s="10" t="str">
        <x:v>Match Centre and Laws</x:v>
      </x:c>
      <x:c r="D13" s="10" t="str">
        <x:v>https://www.fifa.com/en/match-centre</x:v>
      </x:c>
      <x:c r="E13" s="10" t="str">
        <x:v>Pair IFAB with exact competition regulations</x:v>
      </x:c>
    </x:row>
    <x:row r="14">
      <x:c r="A14" s="9" t="str">
        <x:v>Ice hockey</x:v>
      </x:c>
      <x:c r="B14" s="9" t="str">
        <x:v>NHL/IIHF</x:v>
      </x:c>
      <x:c r="C14" s="10" t="str">
        <x:v>Schedule, Game Centre, official documents</x:v>
      </x:c>
      <x:c r="D14" s="10" t="str">
        <x:v>https://www.nhl.com/schedule</x:v>
      </x:c>
      <x:c r="E14" s="10" t="str">
        <x:v>Projected goalies remain projected until final evidence</x:v>
      </x:c>
    </x:row>
    <x:row r="15">
      <x:c r="A15" s="9" t="str">
        <x:v>American football</x:v>
      </x:c>
      <x:c r="B15" s="9" t="str">
        <x:v>NFL/NCAA</x:v>
      </x:c>
      <x:c r="C15" s="10" t="str">
        <x:v>Schedule, inactives, rulebooks</x:v>
      </x:c>
      <x:c r="D15" s="10" t="str">
        <x:v>https://www.nfl.com/inactives/</x:v>
      </x:c>
      <x:c r="E15" s="10" t="str">
        <x:v>2026 NFL proposals are not the final rulebook</x:v>
      </x:c>
    </x:row>
    <x:row r="16">
      <x:c r="A16" s="9" t="str">
        <x:v>Tennis</x:v>
      </x:c>
      <x:c r="B16" s="9" t="str">
        <x:v>ATP/WTA/ITF/tournament</x:v>
      </x:c>
      <x:c r="C16" s="10" t="str">
        <x:v>Draw/order/results/rules</x:v>
      </x:c>
      <x:c r="D16" s="10" t="str">
        <x:v>https://www.atptour.com/en/corporate/rulebook</x:v>
      </x:c>
      <x:c r="E16" s="10" t="str">
        <x:v>Entry does not prove fitness</x:v>
      </x:c>
    </x:row>
    <x:row r="17">
      <x:c r="A17" s="9" t="str">
        <x:v>Golf</x:v>
      </x:c>
      <x:c r="B17" s="9" t="str">
        <x:v>PGA Tour / major organiser</x:v>
      </x:c>
      <x:c r="C17" s="10" t="str">
        <x:v>Field, tee times, leaderboard</x:v>
      </x:c>
      <x:c r="D17" s="10" t="str">
        <x:v>https://www.pgatour.com/leaderboard</x:v>
      </x:c>
      <x:c r="E17" s="10" t="str">
        <x:v>Major organiser controls its event</x:v>
      </x:c>
    </x:row>
    <x:row r="18">
      <x:c r="A18" s="9" t="str">
        <x:v>Weather</x:v>
      </x:c>
      <x:c r="B18" s="9" t="str">
        <x:v>Government service</x:v>
      </x:c>
      <x:c r="C18" s="10" t="str">
        <x:v>Point forecast/nowcast</x:v>
      </x:c>
      <x:c r="D18" s="10" t="str">
        <x:v>https://www.weather.gov/</x:v>
      </x:c>
      <x:c r="E18" s="10" t="str">
        <x:v>Use jurisdiction authority and separate roof state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e90f76a17cf4d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25" hidden="0" customWidth="1"/>
    <x:col min="4" max="4" width="14" hidden="0" customWidth="1"/>
    <x:col min="5" max="5" width="55" hidden="0" customWidth="1"/>
    <x:col min="6" max="6" width="42" hidden="0" customWidth="1"/>
  </x:cols>
  <x:sheetData>
    <x:row r="1" ht="30" customHeight="1">
      <x:c r="A1" s="3" t="str">
        <x:v>Raw JSON Manifest</x:v>
      </x:c>
      <x:c r="B1" s="3"/>
      <x:c r="C1" s="3"/>
      <x:c r="D1" s="3"/>
      <x:c r="E1" s="3"/>
      <x:c r="F1" s="3"/>
    </x:row>
    <x:row r="2" ht="34" customHeight="1">
      <x:c r="A2" s="7" t="str">
        <x:v>Unprovenanced workspace JSON is quarantined. It is not training, calibration or settlement evidence until event identity, cutoff, source URL, retrieval time and hash are established.</x:v>
      </x:c>
      <x:c r="B2" s="7"/>
      <x:c r="C2" s="7"/>
      <x:c r="D2" s="7"/>
      <x:c r="E2" s="7"/>
      <x:c r="F2" s="7"/>
    </x:row>
    <x:row r="4">
      <x:c r="A4" s="22" t="str">
        <x:v>File</x:v>
      </x:c>
      <x:c r="B4" s="22" t="str">
        <x:v>Bytes</x:v>
      </x:c>
      <x:c r="C4" s="22" t="str">
        <x:v>Modified UTC</x:v>
      </x:c>
      <x:c r="D4" s="22" t="str">
        <x:v>Parse</x:v>
      </x:c>
      <x:c r="E4" s="22" t="str">
        <x:v>Top-level shape/keys</x:v>
      </x:c>
      <x:c r="F4" s="22" t="str">
        <x:v>Audit status</x:v>
      </x:c>
    </x:row>
    <x:row r="5" ht="26.399999618530273" hidden="0" customHeight="1">
      <x:c r="A5" s="9" t="str">
        <x:v>ace.json</x:v>
      </x:c>
      <x:c r="B5" s="9" t="n">
        <x:v>168578</x:v>
      </x:c>
      <x:c r="C5" s="38" t="n">
        <x:v>46191.08268526621</x:v>
      </x:c>
      <x:c r="D5" s="9" t="str">
        <x:v>OK</x:v>
      </x:c>
      <x:c r="E5" s="10" t="str">
        <x:v>boxscore; format; gameInfo; lastFiveGames; leaders; seasonseries; injuries; broadcasts; pickcenter; odds; againstTheSpread; winprobability</x:v>
      </x:c>
      <x:c r="F5" s="40" t="str">
        <x:v>QUARANTINED — provenance/cutoff/hash absent</x:v>
      </x:c>
    </x:row>
    <x:row r="6" ht="15" hidden="0" customHeight="1">
      <x:c r="A6" s="9" t="str">
        <x:v>b_20260617.json</x:v>
      </x:c>
      <x:c r="B6" s="9" t="n">
        <x:v>115765</x:v>
      </x:c>
      <x:c r="C6" s="38" t="n">
        <x:v>46191.08247086805</x:v>
      </x:c>
      <x:c r="D6" s="9" t="str">
        <x:v>OK</x:v>
      </x:c>
      <x:c r="E6" s="10" t="str">
        <x:v>leagues; events; provider</x:v>
      </x:c>
      <x:c r="F6" s="40" t="str">
        <x:v>QUARANTINED — provenance/cutoff/hash absent</x:v>
      </x:c>
    </x:row>
    <x:row r="7" ht="15" hidden="0" customHeight="1">
      <x:c r="A7" s="9" t="str">
        <x:v>b_20260618.json</x:v>
      </x:c>
      <x:c r="B7" s="9" t="n">
        <x:v>23483</x:v>
      </x:c>
      <x:c r="C7" s="38" t="n">
        <x:v>46191.08233710648</x:v>
      </x:c>
      <x:c r="D7" s="9" t="str">
        <x:v>OK</x:v>
      </x:c>
      <x:c r="E7" s="10" t="str">
        <x:v>leagues; events; provider</x:v>
      </x:c>
      <x:c r="F7" s="40" t="str">
        <x:v>QUARANTINED — provenance/cutoff/hash absent</x:v>
      </x:c>
    </x:row>
    <x:row r="8" ht="15" hidden="0" customHeight="1">
      <x:c r="A8" s="9" t="str">
        <x:v>b_20260619.json</x:v>
      </x:c>
      <x:c r="B8" s="9" t="n">
        <x:v>49899</x:v>
      </x:c>
      <x:c r="C8" s="38" t="n">
        <x:v>46191.082344675924</x:v>
      </x:c>
      <x:c r="D8" s="9" t="str">
        <x:v>OK</x:v>
      </x:c>
      <x:c r="E8" s="10" t="str">
        <x:v>leagues; events; provider</x:v>
      </x:c>
      <x:c r="F8" s="40" t="str">
        <x:v>QUARANTINED — provenance/cutoff/hash absent</x:v>
      </x:c>
    </x:row>
    <x:row r="9" ht="15" hidden="0" customHeight="1">
      <x:c r="A9" s="9" t="str">
        <x:v>b_20260620.json</x:v>
      </x:c>
      <x:c r="B9" s="9" t="n">
        <x:v>44167</x:v>
      </x:c>
      <x:c r="C9" s="38" t="n">
        <x:v>46191.082358402775</x:v>
      </x:c>
      <x:c r="D9" s="9" t="str">
        <x:v>OK</x:v>
      </x:c>
      <x:c r="E9" s="10" t="str">
        <x:v>leagues; events; provider</x:v>
      </x:c>
      <x:c r="F9" s="40" t="str">
        <x:v>QUARANTINED — provenance/cutoff/hash absent</x:v>
      </x:c>
    </x:row>
    <x:row r="10" ht="15" hidden="0" customHeight="1">
      <x:c r="A10" s="9" t="str">
        <x:v>b_20260621.json</x:v>
      </x:c>
      <x:c r="B10" s="9" t="n">
        <x:v>44332</x:v>
      </x:c>
      <x:c r="C10" s="38" t="n">
        <x:v>46191.08248262732</x:v>
      </x:c>
      <x:c r="D10" s="9" t="str">
        <x:v>OK</x:v>
      </x:c>
      <x:c r="E10" s="10" t="str">
        <x:v>leagues; events; provider</x:v>
      </x:c>
      <x:c r="F10" s="40" t="str">
        <x:v>QUARANTINED — provenance/cutoff/hash absent</x:v>
      </x:c>
    </x:row>
    <x:row r="11" ht="15" hidden="0" customHeight="1">
      <x:c r="A11" s="9" t="str">
        <x:v>b_20260622.json</x:v>
      </x:c>
      <x:c r="B11" s="9" t="n">
        <x:v>58332</x:v>
      </x:c>
      <x:c r="C11" s="38" t="n">
        <x:v>46191.08249386574</x:v>
      </x:c>
      <x:c r="D11" s="9" t="str">
        <x:v>OK</x:v>
      </x:c>
      <x:c r="E11" s="10" t="str">
        <x:v>leagues; events; provider</x:v>
      </x:c>
      <x:c r="F11" s="40" t="str">
        <x:v>QUARANTINED — provenance/cutoff/hash absent</x:v>
      </x:c>
    </x:row>
    <x:row r="12" ht="15" hidden="0" customHeight="1">
      <x:c r="A12" s="9" t="str">
        <x:v>gm.json</x:v>
      </x:c>
      <x:c r="B12" s="9" t="n">
        <x:v>179574</x:v>
      </x:c>
      <x:c r="C12" s="38" t="n">
        <x:v>46191.08218861111</x:v>
      </x:c>
      <x:c r="D12" s="9" t="str">
        <x:v>OK</x:v>
      </x:c>
      <x:c r="E12" s="10" t="str">
        <x:v>copyright; gamePk; link; metaData; gameData; liveData</x:v>
      </x:c>
      <x:c r="F12" s="40" t="str">
        <x:v>QUARANTINED — provenance/cutoff/hash absent</x:v>
      </x:c>
    </x:row>
    <x:row r="13" ht="26.399999618530273" hidden="0" customHeight="1">
      <x:c r="A13" s="9" t="str">
        <x:v>lib.json</x:v>
      </x:c>
      <x:c r="B13" s="9" t="n">
        <x:v>451013</x:v>
      </x:c>
      <x:c r="C13" s="38" t="n">
        <x:v>46191.08216777778</x:v>
      </x:c>
      <x:c r="D13" s="9" t="str">
        <x:v>OK</x:v>
      </x:c>
      <x:c r="E13" s="10" t="str">
        <x:v>boxscore; format; gameInfo; leaders; seasonseries; injuries; broadcasts; pickcenter; odds; againstTheSpread; news; videos</x:v>
      </x:c>
      <x:c r="F13" s="40" t="str">
        <x:v>QUARANTINED — provenance/cutoff/hash absent</x:v>
      </x:c>
    </x:row>
    <x:row r="14" ht="26.399999618530273" hidden="0" customHeight="1">
      <x:c r="A14" s="9" t="str">
        <x:v>mlb_2026-06-18.json</x:v>
      </x:c>
      <x:c r="B14" s="9" t="n">
        <x:v>27494</x:v>
      </x:c>
      <x:c r="C14" s="38" t="n">
        <x:v>46191.065478460645</x:v>
      </x:c>
      <x:c r="D14" s="9" t="str">
        <x:v>OK</x:v>
      </x:c>
      <x:c r="E14" s="10" t="str">
        <x:v>copyright; totalItems; totalEvents; totalGames; totalGamesInProgress; dates</x:v>
      </x:c>
      <x:c r="F14" s="40" t="str">
        <x:v>QUARANTINED — provenance/cutoff/hash absent</x:v>
      </x:c>
    </x:row>
    <x:row r="15" ht="26.399999618530273" hidden="0" customHeight="1">
      <x:c r="A15" s="9" t="str">
        <x:v>mlb_2026-06-19.json</x:v>
      </x:c>
      <x:c r="B15" s="9" t="n">
        <x:v>41794</x:v>
      </x:c>
      <x:c r="C15" s="38" t="n">
        <x:v>46191.065494016206</x:v>
      </x:c>
      <x:c r="D15" s="9" t="str">
        <x:v>OK</x:v>
      </x:c>
      <x:c r="E15" s="10" t="str">
        <x:v>copyright; totalItems; totalEvents; totalGames; totalGamesInProgress; dates</x:v>
      </x:c>
      <x:c r="F15" s="40" t="str">
        <x:v>QUARANTINED — provenance/cutoff/hash absent</x:v>
      </x:c>
    </x:row>
    <x:row r="16" ht="26.399999618530273" hidden="0" customHeight="1">
      <x:c r="A16" s="9" t="str">
        <x:v>sum.json</x:v>
      </x:c>
      <x:c r="B16" s="9" t="n">
        <x:v>160759</x:v>
      </x:c>
      <x:c r="C16" s="38" t="n">
        <x:v>46191.00598674769</x:v>
      </x:c>
      <x:c r="D16" s="9" t="str">
        <x:v>OK</x:v>
      </x:c>
      <x:c r="E16" s="10" t="str">
        <x:v>boxscore; format; gameInfo; leaders; seasonseries; injuries; broadcasts; pickcenter; odds; againstTheSpread; plays; videos</x:v>
      </x:c>
      <x:c r="F16" s="40" t="str">
        <x:v>QUARANTINED — provenance/cutoff/hash absent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76c932a5bcf41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75" hidden="0" customWidth="1"/>
    <x:col min="4" max="4" width="42" hidden="0" customWidth="1"/>
  </x:cols>
  <x:sheetData>
    <x:row r="1" ht="30" customHeight="1">
      <x:c r="A1" s="3" t="str">
        <x:v>Forward Request / Prediction Template</x:v>
      </x:c>
      <x:c r="B1" s="3"/>
      <x:c r="C1" s="3"/>
      <x:c r="D1" s="3"/>
    </x:row>
    <x:row r="2" ht="34" customHeight="1">
      <x:c r="A2" s="7" t="str">
        <x:v>A request row always exists. MODEL UNAVAILABLE or PASS must leave model/probability fields blank and state the reason. An ISSUE needs an ACTIVE in-scope model.</x:v>
      </x:c>
      <x:c r="B2" s="7"/>
      <x:c r="C2" s="7"/>
      <x:c r="D2" s="7"/>
    </x:row>
    <x:row r="4">
      <x:c r="A4" s="22" t="str">
        <x:v>Field</x:v>
      </x:c>
      <x:c r="B4" s="22" t="str">
        <x:v>Required for</x:v>
      </x:c>
      <x:c r="C4" s="22" t="str">
        <x:v>Rule</x:v>
      </x:c>
      <x:c r="D4" s="22" t="str">
        <x:v>Example/value</x:v>
      </x:c>
    </x:row>
    <x:row r="5">
      <x:c r="A5" s="9" t="str">
        <x:v>request_id</x:v>
      </x:c>
      <x:c r="B5" s="9" t="str">
        <x:v>All</x:v>
      </x:c>
      <x:c r="C5" s="10" t="str">
        <x:v>Unique immutable research request</x:v>
      </x:c>
      <x:c r="D5" s="10"/>
    </x:row>
    <x:row r="6">
      <x:c r="A6" s="9" t="str">
        <x:v>primary_question_id</x:v>
      </x:c>
      <x:c r="B6" s="9" t="str">
        <x:v>All</x:v>
      </x:c>
      <x:c r="C6" s="10" t="str">
        <x:v>Separates the user's primary question from secondary claims</x:v>
      </x:c>
      <x:c r="D6" s="10"/>
    </x:row>
    <x:row r="7">
      <x:c r="A7" s="9" t="str">
        <x:v>snapshot_id / prediction_id</x:v>
      </x:c>
      <x:c r="B7" s="9" t="str">
        <x:v>All publications</x:v>
      </x:c>
      <x:c r="C7" s="10" t="str">
        <x:v>New ID for every frozen publication</x:v>
      </x:c>
      <x:c r="D7" s="10"/>
    </x:row>
    <x:row r="8">
      <x:c r="A8" s="9" t="str">
        <x:v>forecast_series_id</x:v>
      </x:c>
      <x:c r="B8" s="9" t="str">
        <x:v>All publications</x:v>
      </x:c>
      <x:c r="C8" s="10" t="str">
        <x:v>Stable lineage across later snapshots</x:v>
      </x:c>
      <x:c r="D8" s="10"/>
    </x:row>
    <x:row r="9">
      <x:c r="A9" s="9" t="str">
        <x:v>parent_snapshot_id</x:v>
      </x:c>
      <x:c r="B9" s="9" t="str">
        <x:v>Updates</x:v>
      </x:c>
      <x:c r="C9" s="10" t="str">
        <x:v>Exact prior immutable snapshot</x:v>
      </x:c>
      <x:c r="D9" s="10"/>
    </x:row>
    <x:row r="10">
      <x:c r="A10" s="9" t="str">
        <x:v>selection_mode</x:v>
      </x:c>
      <x:c r="B10" s="9" t="str">
        <x:v>All</x:v>
      </x:c>
      <x:c r="C10" s="10" t="str">
        <x:v>USER_SUPPLIED | FIXED_UNIVERSE | MODEL_SELECTED</x:v>
      </x:c>
      <x:c r="D10" s="10"/>
    </x:row>
    <x:row r="11">
      <x:c r="A11" s="9" t="str">
        <x:v>candidate_universe_version</x:v>
      </x:c>
      <x:c r="B11" s="9" t="str">
        <x:v>All</x:v>
      </x:c>
      <x:c r="C11" s="10" t="str">
        <x:v>Version of the complete inspected market universe</x:v>
      </x:c>
      <x:c r="D11" s="10"/>
    </x:row>
    <x:row r="12">
      <x:c r="A12" s="9" t="str">
        <x:v>selection_policy_version</x:v>
      </x:c>
      <x:c r="B12" s="9" t="str">
        <x:v>All</x:v>
      </x:c>
      <x:c r="C12" s="10" t="str">
        <x:v>Eligibility/ranking/abstention policy frozen before results</x:v>
      </x:c>
      <x:c r="D12" s="10"/>
    </x:row>
    <x:row r="13">
      <x:c r="A13" s="9" t="str">
        <x:v>analysis_mode</x:v>
      </x:c>
      <x:c r="B13" s="9" t="str">
        <x:v>All</x:v>
      </x:c>
      <x:c r="C13" s="10" t="str">
        <x:v>RESEARCH_ONLY | PRICE_ENABLED</x:v>
      </x:c>
      <x:c r="D13" s="10"/>
    </x:row>
    <x:row r="14">
      <x:c r="A14" s="9" t="str">
        <x:v>forecast_state</x:v>
      </x:c>
      <x:c r="B14" s="9" t="str">
        <x:v>All</x:v>
      </x:c>
      <x:c r="C14" s="10" t="str">
        <x:v>PREGAME_PROJECTED | PREGAME_CONFIRMED | LIVE</x:v>
      </x:c>
      <x:c r="D14" s="10"/>
    </x:row>
    <x:row r="15">
      <x:c r="A15" s="9" t="str">
        <x:v>exact_horizon_or_state_bucket</x:v>
      </x:c>
      <x:c r="B15" s="9" t="str">
        <x:v>All</x:v>
      </x:c>
      <x:c r="C15" s="10" t="str">
        <x:v>Sport-native horizon and, for live, typed clock/exposure</x:v>
      </x:c>
      <x:c r="D15" s="10"/>
    </x:row>
    <x:row r="16">
      <x:c r="A16" s="9" t="str">
        <x:v>event_id / market_id</x:v>
      </x:c>
      <x:c r="B16" s="9" t="str">
        <x:v>All</x:v>
      </x:c>
      <x:c r="C16" s="10" t="str">
        <x:v>Official event identity and exact market definition</x:v>
      </x:c>
      <x:c r="D16" s="10"/>
    </x:row>
    <x:row r="17">
      <x:c r="A17" s="9" t="str">
        <x:v>event_start_utc</x:v>
      </x:c>
      <x:c r="B17" s="9" t="str">
        <x:v>All</x:v>
      </x:c>
      <x:c r="C17" s="10" t="str">
        <x:v>Official scheduled start at cutoff</x:v>
      </x:c>
      <x:c r="D17" s="10"/>
    </x:row>
    <x:row r="18">
      <x:c r="A18" s="9" t="str">
        <x:v>data_cutoff_utc / published_at_utc</x:v>
      </x:c>
      <x:c r="B18" s="9" t="str">
        <x:v>All</x:v>
      </x:c>
      <x:c r="C18" s="10" t="str">
        <x:v>Every source/feature known_at must be &lt;= cutoff &lt;= publication</x:v>
      </x:c>
      <x:c r="D18" s="10"/>
    </x:row>
    <x:row r="19">
      <x:c r="A19" s="9" t="str">
        <x:v>decision_status</x:v>
      </x:c>
      <x:c r="B19" s="9" t="str">
        <x:v>All</x:v>
      </x:c>
      <x:c r="C19" s="10" t="str">
        <x:v>MODEL_UNAVAILABLE | PASS | WATCH | ISSUE</x:v>
      </x:c>
      <x:c r="D19" s="10"/>
    </x:row>
    <x:row r="20">
      <x:c r="A20" s="9" t="str">
        <x:v>pass_reason / missing prerequisites</x:v>
      </x:c>
      <x:c r="B20" s="9" t="str">
        <x:v>MODEL_UNAVAILABLE/PASS</x:v>
      </x:c>
      <x:c r="C20" s="10" t="str">
        <x:v>Required; numeric probability language prohibited</x:v>
      </x:c>
      <x:c r="D20" s="10"/>
    </x:row>
    <x:row r="21">
      <x:c r="A21" s="9" t="str">
        <x:v>model_card_id / activation</x:v>
      </x:c>
      <x:c r="B21" s="9" t="str">
        <x:v>ISSUE</x:v>
      </x:c>
      <x:c r="C21" s="10" t="str">
        <x:v>Must join to ACTIVE exact sport/competition/market/state/horizon scope</x:v>
      </x:c>
      <x:c r="D21" s="10"/>
    </x:row>
    <x:row r="22">
      <x:c r="A22" s="9" t="str">
        <x:v>decision_probability</x:v>
      </x:c>
      <x:c r="B22" s="9" t="str">
        <x:v>ISSUE/WATCH only if policy permits</x:v>
      </x:c>
      <x:c r="C22" s="10" t="str">
        <x:v>Do not call calibrated without registered OOS calibration evidence</x:v>
      </x:c>
      <x:c r="D22" s="10"/>
    </x:row>
    <x:row r="23">
      <x:c r="A23" s="9" t="str">
        <x:v>outcome branches</x:v>
      </x:c>
      <x:c r="B23" s="9" t="str">
        <x:v>Quantitative publication</x:v>
      </x:c>
      <x:c r="C23" s="10" t="str">
        <x:v>One row per mutually exclusive WIN/LOSS/PUSH/VOID branch; reconcile</x:v>
      </x:c>
      <x:c r="D23" s="10"/>
    </x:row>
    <x:row r="24">
      <x:c r="A24" s="9" t="str">
        <x:v>uncertainty_artifact_id</x:v>
      </x:c>
      <x:c r="B24" s="9" t="str">
        <x:v>ISSUE</x:v>
      </x:c>
      <x:c r="C24" s="10" t="str">
        <x:v>Typed method, level, target, interval, scenarios and sensitivity</x:v>
      </x:c>
      <x:c r="D24" s="10"/>
    </x:row>
    <x:row r="25">
      <x:c r="A25" s="9" t="str">
        <x:v>source_packet_id / snapshot_hash</x:v>
      </x:c>
      <x:c r="B25" s="9" t="str">
        <x:v>All publications</x:v>
      </x:c>
      <x:c r="C25" s="10" t="str">
        <x:v>Point-in-time evidence and immutable record hash</x:v>
      </x:c>
      <x:c r="D25" s="10"/>
    </x:row>
    <x:row r="26">
      <x:c r="A26" s="9" t="str">
        <x:v>price_snapshot_id</x:v>
      </x:c>
      <x:c r="B26" s="9" t="str">
        <x:v>PRICE_ENABLED only</x:v>
      </x:c>
      <x:c r="C26" s="10" t="str">
        <x:v>Complete contemporaneous outcome prices and de-vig method</x:v>
      </x:c>
      <x:c r="D26" s="10"/>
    </x:row>
    <x:row r="27">
      <x:c r="A27" s="9" t="str">
        <x:v>expected_return</x:v>
      </x:c>
      <x:c r="B27" s="9" t="str">
        <x:v>PRICE_ENABLED ISSUE</x:v>
      </x:c>
      <x:c r="C27" s="10" t="str">
        <x:v>p_win*(d-1)-p_loss, net of commission; push/void zero profit</x:v>
      </x:c>
      <x:c r="D27" s="10"/>
    </x:row>
    <x:row r="28">
      <x:c r="A28" s="9" t="str">
        <x:v>invalidation_triggers</x:v>
      </x:c>
      <x:c r="B28" s="9" t="str">
        <x:v>Quantitative publication</x:v>
      </x:c>
      <x:c r="C28" s="10" t="str">
        <x:v>Facts/state changes requiring a new snapshot</x:v>
      </x:c>
      <x:c r="D28" s="10"/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82" hidden="0" customWidth="1"/>
    <x:col min="4" max="4" width="42" hidden="0" customWidth="1"/>
  </x:cols>
  <x:sheetData>
    <x:row r="1" ht="30" customHeight="1">
      <x:c r="A1" s="3" t="str">
        <x:v>Append-only Settlement / Evaluation Template</x:v>
      </x:c>
      <x:c r="B1" s="3"/>
      <x:c r="C1" s="3"/>
      <x:c r="D1" s="3"/>
    </x:row>
    <x:row r="2" ht="34" customHeight="1">
      <x:c r="A2" s="7" t="str">
        <x:v>Settlement records facts only. A separate reproducible evaluation run calculates scores and eligibility against one immutable prediction snapshot.</x:v>
      </x:c>
      <x:c r="B2" s="7"/>
      <x:c r="C2" s="7"/>
      <x:c r="D2" s="7"/>
    </x:row>
    <x:row r="4">
      <x:c r="A4" s="22" t="str">
        <x:v>Field</x:v>
      </x:c>
      <x:c r="B4" s="22" t="str">
        <x:v>Entity</x:v>
      </x:c>
      <x:c r="C4" s="22" t="str">
        <x:v>Rule</x:v>
      </x:c>
      <x:c r="D4" s="22" t="str">
        <x:v>Example/value</x:v>
      </x:c>
    </x:row>
    <x:row r="5">
      <x:c r="A5" s="9" t="str">
        <x:v>settlement_id</x:v>
      </x:c>
      <x:c r="B5" s="9" t="str">
        <x:v>Settlement</x:v>
      </x:c>
      <x:c r="C5" s="10" t="str">
        <x:v>Unique append-only version ID</x:v>
      </x:c>
      <x:c r="D5" s="10"/>
    </x:row>
    <x:row r="6">
      <x:c r="A6" s="9" t="str">
        <x:v>prediction_id / snapshot_id</x:v>
      </x:c>
      <x:c r="B6" s="9" t="str">
        <x:v>Settlement</x:v>
      </x:c>
      <x:c r="C6" s="10" t="str">
        <x:v>Exact frozen publication, never the series alone</x:v>
      </x:c>
      <x:c r="D6" s="10"/>
    </x:row>
    <x:row r="7">
      <x:c r="A7" s="9" t="str">
        <x:v>settlement_version / prior_id</x:v>
      </x:c>
      <x:c r="B7" s="9" t="str">
        <x:v>Settlement</x:v>
      </x:c>
      <x:c r="C7" s="10" t="str">
        <x:v>Corrections append and link; never overwrite</x:v>
      </x:c>
      <x:c r="D7" s="10"/>
    </x:row>
    <x:row r="8">
      <x:c r="A8" s="9" t="str">
        <x:v>official_event_status</x:v>
      </x:c>
      <x:c r="B8" s="9" t="str">
        <x:v>Settlement</x:v>
      </x:c>
      <x:c r="C8" s="10" t="str">
        <x:v>FINAL | POSTPONED | ABANDONED | SUSPENDED | CANCELLED | UNDER_REVIEW</x:v>
      </x:c>
      <x:c r="D8" s="10"/>
    </x:row>
    <x:row r="9">
      <x:c r="A9" s="9" t="str">
        <x:v>numeric_outcome / grade</x:v>
      </x:c>
      <x:c r="B9" s="9" t="str">
        <x:v>Settlement</x:v>
      </x:c>
      <x:c r="C9" s="10" t="str">
        <x:v>Exact state and WIN | LOSS | PUSH | VOID | UNGRADABLE | PENDING</x:v>
      </x:c>
      <x:c r="D9" s="10"/>
    </x:row>
    <x:row r="10">
      <x:c r="A10" s="9" t="str">
        <x:v>settlement_source_url</x:v>
      </x:c>
      <x:c r="B10" s="9" t="str">
        <x:v>Non-pending settlement</x:v>
      </x:c>
      <x:c r="C10" s="10" t="str">
        <x:v>Direct official gamebook/scorecard/result when available</x:v>
      </x:c>
      <x:c r="D10" s="10"/>
    </x:row>
    <x:row r="11">
      <x:c r="A11" s="9" t="str">
        <x:v>source_fetched_at_utc</x:v>
      </x:c>
      <x:c r="B11" s="9" t="str">
        <x:v>Non-pending settlement</x:v>
      </x:c>
      <x:c r="C11" s="10" t="str">
        <x:v>Verification time</x:v>
      </x:c>
      <x:c r="D11" s="10"/>
    </x:row>
    <x:row r="12">
      <x:c r="A12" s="9" t="str">
        <x:v>rules_applied</x:v>
      </x:c>
      <x:c r="B12" s="9" t="str">
        <x:v>Settlement</x:v>
      </x:c>
      <x:c r="C12" s="10" t="str">
        <x:v>Versioned settlement convention and exceptional branch</x:v>
      </x:c>
      <x:c r="D12" s="10"/>
    </x:row>
    <x:row r="13">
      <x:c r="A13" s="9" t="str">
        <x:v>evaluation_run_id</x:v>
      </x:c>
      <x:c r="B13" s="9" t="str">
        <x:v>Evaluation</x:v>
      </x:c>
      <x:c r="C13" s="10" t="str">
        <x:v>Versioned code, scoring spec, settlement version and eligible cohort</x:v>
      </x:c>
      <x:c r="D13" s="10"/>
    </x:row>
    <x:row r="14">
      <x:c r="A14" s="9" t="str">
        <x:v>eligible_for_v3_evaluation</x:v>
      </x:c>
      <x:c r="B14" s="9" t="str">
        <x:v>Evaluation</x:v>
      </x:c>
      <x:c r="C14" s="10" t="str">
        <x:v>Fails closed for legacy/unlocked/out-of-scope rows</x:v>
      </x:c>
      <x:c r="D14" s="10"/>
    </x:row>
    <x:row r="15">
      <x:c r="A15" s="9" t="str">
        <x:v>proper_score / baseline_delta</x:v>
      </x:c>
      <x:c r="B15" s="9" t="str">
        <x:v>Evaluation</x:v>
      </x:c>
      <x:c r="C15" s="10" t="str">
        <x:v>Brier/log/CRPS/RPS per versioned scoring convention</x:v>
      </x:c>
      <x:c r="D15" s="10"/>
    </x:row>
    <x:row r="16">
      <x:c r="A16" s="9" t="str">
        <x:v>cluster_id / effective_n</x:v>
      </x:c>
      <x:c r="B16" s="9" t="str">
        <x:v>Evaluation</x:v>
      </x:c>
      <x:c r="C16" s="10" t="str">
        <x:v>Event first; additional time/team blocks when justified</x:v>
      </x:c>
      <x:c r="D16" s="10"/>
    </x:row>
    <x:row r="17">
      <x:c r="A17" s="9" t="str">
        <x:v>execution_id</x:v>
      </x:c>
      <x:c r="B17" s="9" t="str">
        <x:v>P&amp;L/CLV only</x:v>
      </x:c>
      <x:c r="C17" s="10" t="str">
        <x:v>Actual accepted transaction; otherwise P&amp;L, yield and CLV prohibited</x:v>
      </x:c>
      <x:c r="D17" s="10"/>
    </x:row>
    <x:row r="18">
      <x:c r="A18" s="9" t="str">
        <x:v>correction_reason / reviewer</x:v>
      </x:c>
      <x:c r="B18" s="9" t="str">
        <x:v>Correction</x:v>
      </x:c>
      <x:c r="C18" s="10" t="str">
        <x:v>Required for settlement version &gt; 1</x:v>
      </x:c>
      <x:c r="D18" s="10"/>
    </x:row>
  </x:sheetData>
  <x:mergeCells>
    <x:mergeCell ref="A1:D1"/>
    <x:mergeCell ref="A2:D2"/>
  </x:mergeCells>
  <x:pageMargins left="0.7" right="0.7" top="0.75" bottom="0.75" header="0.3" footer="0.3"/>
</x:worksheet>
</file>